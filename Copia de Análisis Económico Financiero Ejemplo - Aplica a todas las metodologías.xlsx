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60" yWindow="460" windowWidth="24940" windowHeight="15540" tabRatio="600" firstSheet="0" activeTab="4" autoFilterDateGrouping="1"/>
  </bookViews>
  <sheets>
    <sheet name="Sub-Total Rubros Argentina" sheetId="1" state="hidden" r:id="rId1"/>
    <sheet name="Sub-Total Subrubros Argentina" sheetId="2" state="hidden" r:id="rId2"/>
    <sheet name="Total de rubros por Provincia" sheetId="3" state="hidden" r:id="rId3"/>
    <sheet name="Total de sub-rubros por Provinc" sheetId="4" state="hidden" r:id="rId4"/>
    <sheet name="Est. Res. Proy." sheetId="5" state="visible" r:id="rId5"/>
    <sheet name="Ingresos" sheetId="6" state="visible" r:id="rId6"/>
    <sheet name="Egresos" sheetId="7" state="visible" r:id="rId7"/>
    <sheet name="RRHH" sheetId="8" state="visible" r:id="rId8"/>
    <sheet name="Inversiones" sheetId="9" state="visible" r:id="rId9"/>
    <sheet name="Amortizaciones" sheetId="10" state="visible" r:id="rId10"/>
    <sheet name="Intra Extranets" sheetId="11" state="hidden" r:id="rId11"/>
    <sheet name="Cuadro de Resultados" sheetId="12" state="hidden" r:id="rId12"/>
  </sheets>
  <definedNames>
    <definedName name="Cooperativas_por_Provincia">#REF!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&quot;$&quot;\ #,##0"/>
    <numFmt numFmtId="165" formatCode="&quot;$&quot;#,##0.00_);[Red]\(&quot;$&quot;#,##0.00\)"/>
    <numFmt numFmtId="166" formatCode="&quot;$&quot;\ #,##0.00"/>
    <numFmt numFmtId="167" formatCode="&quot;$&quot;\ #,##0.00_);[Red]\(&quot;$&quot;\ #,##0.00\)"/>
    <numFmt numFmtId="168" formatCode="&quot;$&quot;\ #,##0.00;[Red]&quot;$&quot;\ \-#,##0.00"/>
    <numFmt numFmtId="169" formatCode="0.0000%"/>
    <numFmt numFmtId="170" formatCode="_(* #,##0_);_(* \(#,##0\);_(* &quot;-&quot;??_);_(@_)"/>
    <numFmt numFmtId="171" formatCode="[$$-2C0A]\ #,##0.00"/>
    <numFmt numFmtId="172" formatCode="[$$-2C0A]\ #,##0"/>
    <numFmt numFmtId="173" formatCode="mmm\-yyyy"/>
    <numFmt numFmtId="174" formatCode="_(&quot;N$&quot;* #,##0_);_(&quot;N$&quot;* \(#,##0\);_(&quot;N$&quot;* &quot;-&quot;??_);_(@_)"/>
    <numFmt numFmtId="175" formatCode="[$ $]#,##0.00"/>
  </numFmts>
  <fonts count="21">
    <font>
      <name val="Arial"/>
      <color rgb="FF000000"/>
      <sz val="10"/>
    </font>
    <font>
      <name val="Open Sans"/>
      <color rgb="FF000000"/>
      <sz val="10"/>
    </font>
    <font>
      <name val="Arial"/>
      <b val="1"/>
      <color rgb="FF000000"/>
      <sz val="10"/>
    </font>
    <font>
      <name val="Arial"/>
      <b val="1"/>
      <color theme="1"/>
      <sz val="10"/>
    </font>
    <font>
      <name val="Arial"/>
      <b val="1"/>
      <color rgb="FF000000"/>
      <sz val="16"/>
    </font>
    <font>
      <name val="Arial"/>
      <b val="1"/>
      <color theme="1"/>
      <sz val="16"/>
    </font>
    <font>
      <name val="Arial"/>
      <color theme="1"/>
      <sz val="10"/>
    </font>
    <font>
      <name val="Arial"/>
      <b val="1"/>
      <color theme="1"/>
      <sz val="14"/>
    </font>
    <font>
      <name val="Arial"/>
      <b val="1"/>
      <color rgb="FFFFFFFF"/>
      <sz val="8"/>
    </font>
    <font>
      <name val="Arial"/>
      <sz val="10"/>
    </font>
    <font>
      <name val="Arial"/>
      <b val="1"/>
      <color theme="1"/>
      <sz val="8"/>
    </font>
    <font>
      <name val="Arial"/>
      <color theme="1"/>
      <sz val="8"/>
    </font>
    <font>
      <name val="Arial"/>
      <b val="1"/>
      <color theme="1"/>
      <sz val="12"/>
    </font>
    <font>
      <name val="Arial"/>
      <color theme="1"/>
      <sz val="12"/>
    </font>
    <font>
      <name val="Arial"/>
      <b val="1"/>
      <color theme="1"/>
      <sz val="10"/>
      <u val="single"/>
    </font>
    <font>
      <name val="Arial"/>
      <b val="1"/>
      <color rgb="FFFFFFFF"/>
      <sz val="10"/>
    </font>
    <font>
      <name val="Arial"/>
      <b val="1"/>
      <color rgb="FFFF0000"/>
      <sz val="10"/>
    </font>
    <font>
      <name val="Arial"/>
      <b val="1"/>
      <color theme="1"/>
      <sz val="11"/>
    </font>
    <font>
      <name val="Arial"/>
      <color theme="1"/>
      <sz val="10"/>
      <u val="single"/>
    </font>
    <font>
      <name val="Arial"/>
      <color rgb="FFFF0000"/>
      <sz val="10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008000"/>
        <bgColor rgb="FF008000"/>
      </patternFill>
    </fill>
    <fill>
      <patternFill patternType="solid">
        <fgColor rgb="FFFFFF99"/>
        <bgColor rgb="FFFFFF99"/>
      </patternFill>
    </fill>
    <fill>
      <patternFill patternType="solid">
        <fgColor rgb="FFFFFE9F"/>
        <bgColor rgb="FFFFFE9F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14"/>
  </cellStyleXfs>
  <cellXfs count="292">
    <xf numFmtId="0" fontId="0" fillId="0" borderId="0" pivotButton="0" quotePrefix="0" xfId="0"/>
    <xf numFmtId="0" fontId="0" fillId="2" borderId="1" applyAlignment="1" pivotButton="0" quotePrefix="0" xfId="0">
      <alignment horizontal="center"/>
    </xf>
    <xf numFmtId="0" fontId="1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1" applyAlignment="1" pivotButton="0" quotePrefix="1" xfId="0">
      <alignment horizontal="center"/>
    </xf>
    <xf numFmtId="0" fontId="0" fillId="0" borderId="2" applyAlignment="1" pivotButton="0" quotePrefix="0" xfId="0">
      <alignment horizontal="right" wrapText="1"/>
    </xf>
    <xf numFmtId="0" fontId="1" fillId="0" borderId="1" pivotButton="0" quotePrefix="0" xfId="0"/>
    <xf numFmtId="0" fontId="0" fillId="0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right" wrapText="1"/>
    </xf>
    <xf numFmtId="0" fontId="0" fillId="0" borderId="2" applyAlignment="1" pivotButton="0" quotePrefix="1" xfId="0">
      <alignment horizontal="left" wrapText="1"/>
    </xf>
    <xf numFmtId="0" fontId="2" fillId="0" borderId="2" applyAlignment="1" pivotButton="0" quotePrefix="0" xfId="0">
      <alignment horizontal="left" wrapText="1"/>
    </xf>
    <xf numFmtId="0" fontId="2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right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4" pivotButton="0" quotePrefix="0" xfId="0"/>
    <xf numFmtId="0" fontId="6" fillId="0" borderId="0" applyAlignment="1" pivotButton="0" quotePrefix="0" xfId="0">
      <alignment horizontal="left"/>
    </xf>
    <xf numFmtId="3" fontId="6" fillId="0" borderId="0" pivotButton="0" quotePrefix="0" xfId="0"/>
    <xf numFmtId="1" fontId="8" fillId="3" borderId="5" applyAlignment="1" pivotButton="0" quotePrefix="1" xfId="0">
      <alignment horizontal="center"/>
    </xf>
    <xf numFmtId="0" fontId="8" fillId="3" borderId="4" applyAlignment="1" pivotButton="0" quotePrefix="0" xfId="0">
      <alignment horizontal="center"/>
    </xf>
    <xf numFmtId="1" fontId="8" fillId="3" borderId="7" applyAlignment="1" pivotButton="0" quotePrefix="0" xfId="0">
      <alignment horizontal="center"/>
    </xf>
    <xf numFmtId="1" fontId="8" fillId="3" borderId="8" applyAlignment="1" pivotButton="0" quotePrefix="0" xfId="0">
      <alignment horizontal="center"/>
    </xf>
    <xf numFmtId="164" fontId="11" fillId="0" borderId="9" applyAlignment="1" pivotButton="0" quotePrefix="0" xfId="0">
      <alignment horizontal="right"/>
    </xf>
    <xf numFmtId="164" fontId="11" fillId="0" borderId="10" applyAlignment="1" pivotButton="0" quotePrefix="0" xfId="0">
      <alignment horizontal="right"/>
    </xf>
    <xf numFmtId="0" fontId="10" fillId="4" borderId="6" pivotButton="0" quotePrefix="0" xfId="0"/>
    <xf numFmtId="164" fontId="11" fillId="5" borderId="11" applyAlignment="1" pivotButton="0" quotePrefix="0" xfId="0">
      <alignment horizontal="right"/>
    </xf>
    <xf numFmtId="164" fontId="11" fillId="5" borderId="12" applyAlignment="1" pivotButton="0" quotePrefix="0" xfId="0">
      <alignment horizontal="right"/>
    </xf>
    <xf numFmtId="164" fontId="11" fillId="5" borderId="13" applyAlignment="1" pivotButton="0" quotePrefix="0" xfId="0">
      <alignment horizontal="right"/>
    </xf>
    <xf numFmtId="0" fontId="10" fillId="4" borderId="6" applyAlignment="1" pivotButton="0" quotePrefix="0" xfId="0">
      <alignment horizontal="left"/>
    </xf>
    <xf numFmtId="0" fontId="12" fillId="0" borderId="0" pivotButton="0" quotePrefix="0" xfId="0"/>
    <xf numFmtId="42" fontId="12" fillId="0" borderId="0" applyAlignment="1" pivotButton="0" quotePrefix="0" xfId="0">
      <alignment horizontal="left"/>
    </xf>
    <xf numFmtId="165" fontId="13" fillId="0" borderId="4" pivotButton="0" quotePrefix="0" xfId="0"/>
    <xf numFmtId="10" fontId="13" fillId="0" borderId="4" applyAlignment="1" pivotButton="0" quotePrefix="0" xfId="0">
      <alignment horizontal="center"/>
    </xf>
    <xf numFmtId="166" fontId="12" fillId="0" borderId="0" applyAlignment="1" pivotButton="0" quotePrefix="0" xfId="0">
      <alignment horizontal="center"/>
    </xf>
    <xf numFmtId="42" fontId="10" fillId="6" borderId="14" applyAlignment="1" pivotButton="0" quotePrefix="0" xfId="0">
      <alignment horizontal="left" wrapText="1"/>
    </xf>
    <xf numFmtId="10" fontId="12" fillId="0" borderId="0" applyAlignment="1" pivotButton="0" quotePrefix="0" xfId="0">
      <alignment horizontal="center"/>
    </xf>
    <xf numFmtId="42" fontId="10" fillId="6" borderId="14" applyAlignment="1" pivotButton="0" quotePrefix="0" xfId="0">
      <alignment horizontal="left"/>
    </xf>
    <xf numFmtId="42" fontId="13" fillId="0" borderId="0" applyAlignment="1" pivotButton="0" quotePrefix="0" xfId="0">
      <alignment horizontal="left"/>
    </xf>
    <xf numFmtId="0" fontId="3" fillId="0" borderId="4" pivotButton="0" quotePrefix="0" xfId="0"/>
    <xf numFmtId="167" fontId="11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9" fontId="12" fillId="0" borderId="4" pivotButton="0" quotePrefix="0" xfId="0"/>
    <xf numFmtId="9" fontId="6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0" fontId="5" fillId="0" borderId="0" applyAlignment="1" pivotButton="0" quotePrefix="0" xfId="0">
      <alignment horizontal="left"/>
    </xf>
    <xf numFmtId="4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left"/>
    </xf>
    <xf numFmtId="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0" fontId="15" fillId="3" borderId="6" applyAlignment="1" pivotButton="0" quotePrefix="0" xfId="0">
      <alignment horizontal="left"/>
    </xf>
    <xf numFmtId="0" fontId="15" fillId="3" borderId="7" applyAlignment="1" pivotButton="0" quotePrefix="0" xfId="0">
      <alignment horizontal="left"/>
    </xf>
    <xf numFmtId="4" fontId="15" fillId="3" borderId="7" applyAlignment="1" pivotButton="0" quotePrefix="0" xfId="0">
      <alignment horizontal="right"/>
    </xf>
    <xf numFmtId="4" fontId="15" fillId="3" borderId="14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42" fontId="6" fillId="0" borderId="0" applyAlignment="1" pivotButton="0" quotePrefix="0" xfId="0">
      <alignment horizontal="left"/>
    </xf>
    <xf numFmtId="0" fontId="3" fillId="0" borderId="15" applyAlignment="1" pivotButton="0" quotePrefix="0" xfId="0">
      <alignment horizontal="left"/>
    </xf>
    <xf numFmtId="0" fontId="3" fillId="0" borderId="16" applyAlignment="1" pivotButton="0" quotePrefix="0" xfId="0">
      <alignment horizontal="left"/>
    </xf>
    <xf numFmtId="4" fontId="6" fillId="0" borderId="16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3" fillId="0" borderId="17" applyAlignment="1" pivotButton="0" quotePrefix="0" xfId="0">
      <alignment horizontal="left"/>
    </xf>
    <xf numFmtId="42" fontId="3" fillId="0" borderId="0" applyAlignment="1" pivotButton="0" quotePrefix="0" xfId="0">
      <alignment horizontal="left"/>
    </xf>
    <xf numFmtId="0" fontId="15" fillId="3" borderId="5" applyAlignment="1" pivotButton="0" quotePrefix="0" xfId="0">
      <alignment horizontal="center"/>
    </xf>
    <xf numFmtId="1" fontId="15" fillId="3" borderId="14" applyAlignment="1" pivotButton="0" quotePrefix="1" xfId="0">
      <alignment horizontal="center"/>
    </xf>
    <xf numFmtId="4" fontId="15" fillId="3" borderId="5" applyAlignment="1" pivotButton="0" quotePrefix="0" xfId="0">
      <alignment horizontal="center"/>
    </xf>
    <xf numFmtId="41" fontId="6" fillId="0" borderId="0" pivotButton="0" quotePrefix="0" xfId="0"/>
    <xf numFmtId="10" fontId="6" fillId="0" borderId="0" pivotButton="0" quotePrefix="0" xfId="0"/>
    <xf numFmtId="0" fontId="15" fillId="3" borderId="18" applyAlignment="1" pivotButton="0" quotePrefix="0" xfId="0">
      <alignment horizontal="center"/>
    </xf>
    <xf numFmtId="1" fontId="15" fillId="3" borderId="18" applyAlignment="1" pivotButton="0" quotePrefix="0" xfId="0">
      <alignment horizontal="center"/>
    </xf>
    <xf numFmtId="1" fontId="15" fillId="3" borderId="14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left" wrapText="1"/>
    </xf>
    <xf numFmtId="164" fontId="0" fillId="0" borderId="1" applyAlignment="1" pivotButton="0" quotePrefix="0" xfId="0">
      <alignment horizontal="right"/>
    </xf>
    <xf numFmtId="164" fontId="3" fillId="4" borderId="19" applyAlignment="1" pivotButton="0" quotePrefix="0" xfId="0">
      <alignment horizontal="right"/>
    </xf>
    <xf numFmtId="0" fontId="16" fillId="0" borderId="0" pivotButton="0" quotePrefix="0" xfId="0"/>
    <xf numFmtId="0" fontId="15" fillId="3" borderId="1" applyAlignment="1" pivotButton="0" quotePrefix="0" xfId="0">
      <alignment horizontal="center" wrapText="1"/>
    </xf>
    <xf numFmtId="1" fontId="15" fillId="3" borderId="1" applyAlignment="1" pivotButton="0" quotePrefix="1" xfId="0">
      <alignment horizontal="center" vertical="center"/>
    </xf>
    <xf numFmtId="1" fontId="15" fillId="3" borderId="1" applyAlignment="1" pivotButton="0" quotePrefix="1" xfId="0">
      <alignment horizontal="center"/>
    </xf>
    <xf numFmtId="164" fontId="0" fillId="0" borderId="9" applyAlignment="1" pivotButton="0" quotePrefix="0" xfId="0">
      <alignment horizontal="right"/>
    </xf>
    <xf numFmtId="3" fontId="0" fillId="0" borderId="9" applyAlignment="1" pivotButton="0" quotePrefix="0" xfId="0">
      <alignment horizontal="right"/>
    </xf>
    <xf numFmtId="164" fontId="6" fillId="0" borderId="9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1" fontId="15" fillId="3" borderId="5" applyAlignment="1" pivotButton="0" quotePrefix="0" xfId="0">
      <alignment horizontal="center"/>
    </xf>
    <xf numFmtId="0" fontId="15" fillId="0" borderId="0" pivotButton="0" quotePrefix="0" xfId="0"/>
    <xf numFmtId="0" fontId="15" fillId="3" borderId="18" applyAlignment="1" pivotButton="0" quotePrefix="0" xfId="0">
      <alignment horizontal="left"/>
    </xf>
    <xf numFmtId="0" fontId="15" fillId="3" borderId="14" applyAlignment="1" pivotButton="0" quotePrefix="0" xfId="0">
      <alignment horizontal="center"/>
    </xf>
    <xf numFmtId="1" fontId="8" fillId="3" borderId="14" applyAlignment="1" pivotButton="0" quotePrefix="0" xfId="0">
      <alignment horizontal="center"/>
    </xf>
    <xf numFmtId="1" fontId="8" fillId="3" borderId="14" applyAlignment="1" pivotButton="0" quotePrefix="1" xfId="0">
      <alignment horizontal="center"/>
    </xf>
    <xf numFmtId="164" fontId="6" fillId="0" borderId="1" pivotButton="0" quotePrefix="0" xfId="0"/>
    <xf numFmtId="42" fontId="6" fillId="0" borderId="1" applyAlignment="1" pivotButton="0" quotePrefix="0" xfId="0">
      <alignment horizontal="left"/>
    </xf>
    <xf numFmtId="0" fontId="6" fillId="0" borderId="1" applyAlignment="1" pivotButton="0" quotePrefix="1" xfId="0">
      <alignment horizontal="left"/>
    </xf>
    <xf numFmtId="0" fontId="6" fillId="0" borderId="1" pivotButton="0" quotePrefix="0" xfId="0"/>
    <xf numFmtId="171" fontId="6" fillId="0" borderId="1" applyAlignment="1" pivotButton="0" quotePrefix="0" xfId="0">
      <alignment horizontal="right"/>
    </xf>
    <xf numFmtId="172" fontId="6" fillId="0" borderId="1" applyAlignment="1" pivotButton="0" quotePrefix="0" xfId="0">
      <alignment horizontal="right"/>
    </xf>
    <xf numFmtId="42" fontId="3" fillId="4" borderId="19" applyAlignment="1" pivotButton="0" quotePrefix="0" xfId="0">
      <alignment horizontal="center"/>
    </xf>
    <xf numFmtId="164" fontId="6" fillId="0" borderId="0" pivotButton="0" quotePrefix="0" xfId="0"/>
    <xf numFmtId="0" fontId="6" fillId="0" borderId="9" pivotButton="0" quotePrefix="0" xfId="0"/>
    <xf numFmtId="171" fontId="6" fillId="0" borderId="9" pivotButton="0" quotePrefix="0" xfId="0"/>
    <xf numFmtId="0" fontId="3" fillId="4" borderId="1" pivotButton="0" quotePrefix="0" xfId="0"/>
    <xf numFmtId="171" fontId="3" fillId="4" borderId="1" pivotButton="0" quotePrefix="0" xfId="0"/>
    <xf numFmtId="0" fontId="15" fillId="3" borderId="1" applyAlignment="1" pivotButton="0" quotePrefix="0" xfId="0">
      <alignment horizontal="center" vertical="center" wrapText="1"/>
    </xf>
    <xf numFmtId="1" fontId="15" fillId="3" borderId="1" applyAlignment="1" pivotButton="0" quotePrefix="1" xfId="0">
      <alignment horizontal="center" vertical="center" wrapText="1"/>
    </xf>
    <xf numFmtId="0" fontId="6" fillId="0" borderId="1" applyAlignment="1" pivotButton="0" quotePrefix="0" xfId="0">
      <alignment horizontal="left" wrapText="1"/>
    </xf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" fontId="15" fillId="0" borderId="0" applyAlignment="1" pivotButton="0" quotePrefix="0" xfId="0">
      <alignment horizontal="center"/>
    </xf>
    <xf numFmtId="164" fontId="0" fillId="7" borderId="1" applyAlignment="1" pivotButton="0" quotePrefix="0" xfId="0">
      <alignment horizontal="right"/>
    </xf>
    <xf numFmtId="1" fontId="6" fillId="7" borderId="23" applyAlignment="1" pivotButton="0" quotePrefix="0" xfId="0">
      <alignment horizontal="center"/>
    </xf>
    <xf numFmtId="1" fontId="6" fillId="0" borderId="24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1" fontId="0" fillId="0" borderId="25" applyAlignment="1" pivotButton="0" quotePrefix="0" xfId="0">
      <alignment horizontal="center"/>
    </xf>
    <xf numFmtId="2" fontId="6" fillId="0" borderId="23" applyAlignment="1" pivotButton="0" quotePrefix="0" xfId="0">
      <alignment horizontal="center"/>
    </xf>
    <xf numFmtId="1" fontId="0" fillId="7" borderId="23" applyAlignment="1" pivotButton="0" quotePrefix="0" xfId="0">
      <alignment horizontal="center"/>
    </xf>
    <xf numFmtId="1" fontId="0" fillId="0" borderId="24" applyAlignment="1" pivotButton="0" quotePrefix="0" xfId="0">
      <alignment horizontal="center"/>
    </xf>
    <xf numFmtId="164" fontId="6" fillId="7" borderId="26" applyAlignment="1" pivotButton="0" quotePrefix="0" xfId="0">
      <alignment horizontal="right"/>
    </xf>
    <xf numFmtId="164" fontId="6" fillId="7" borderId="27" applyAlignment="1" pivotButton="0" quotePrefix="0" xfId="0">
      <alignment horizontal="right"/>
    </xf>
    <xf numFmtId="0" fontId="0" fillId="0" borderId="1" pivotButton="0" quotePrefix="0" xfId="0"/>
    <xf numFmtId="1" fontId="0" fillId="0" borderId="1" applyAlignment="1" pivotButton="0" quotePrefix="0" xfId="0">
      <alignment horizontal="center"/>
    </xf>
    <xf numFmtId="164" fontId="15" fillId="3" borderId="1" applyAlignment="1" pivotButton="0" quotePrefix="0" xfId="0">
      <alignment horizontal="right"/>
    </xf>
    <xf numFmtId="2" fontId="15" fillId="3" borderId="14" applyAlignment="1" pivotButton="0" quotePrefix="0" xfId="0">
      <alignment horizontal="center"/>
    </xf>
    <xf numFmtId="0" fontId="3" fillId="0" borderId="28" applyAlignment="1" pivotButton="0" quotePrefix="0" xfId="0">
      <alignment horizontal="left"/>
    </xf>
    <xf numFmtId="10" fontId="3" fillId="0" borderId="29" pivotButton="0" quotePrefix="0" xfId="0"/>
    <xf numFmtId="0" fontId="3" fillId="0" borderId="30" applyAlignment="1" pivotButton="0" quotePrefix="0" xfId="0">
      <alignment horizontal="left"/>
    </xf>
    <xf numFmtId="10" fontId="3" fillId="0" borderId="31" pivotButton="0" quotePrefix="0" xfId="0"/>
    <xf numFmtId="0" fontId="3" fillId="0" borderId="32" applyAlignment="1" pivotButton="0" quotePrefix="0" xfId="0">
      <alignment horizontal="left"/>
    </xf>
    <xf numFmtId="0" fontId="3" fillId="0" borderId="33" applyAlignment="1" pivotButton="0" quotePrefix="0" xfId="0">
      <alignment horizontal="left"/>
    </xf>
    <xf numFmtId="10" fontId="3" fillId="0" borderId="34" pivotButton="0" quotePrefix="0" xfId="0"/>
    <xf numFmtId="164" fontId="15" fillId="3" borderId="5" applyAlignment="1" pivotButton="0" quotePrefix="0" xfId="0">
      <alignment horizontal="center"/>
    </xf>
    <xf numFmtId="1" fontId="8" fillId="3" borderId="18" applyAlignment="1" pivotButton="0" quotePrefix="0" xfId="0">
      <alignment horizontal="center"/>
    </xf>
    <xf numFmtId="164" fontId="6" fillId="7" borderId="36" pivotButton="0" quotePrefix="0" xfId="0"/>
    <xf numFmtId="164" fontId="0" fillId="0" borderId="0" pivotButton="0" quotePrefix="0" xfId="0"/>
    <xf numFmtId="164" fontId="6" fillId="4" borderId="37" pivotButton="0" quotePrefix="0" xfId="0"/>
    <xf numFmtId="164" fontId="15" fillId="3" borderId="38" pivotButton="0" quotePrefix="0" xfId="0"/>
    <xf numFmtId="164" fontId="3" fillId="4" borderId="39" pivotButton="0" quotePrefix="0" xfId="0"/>
    <xf numFmtId="0" fontId="18" fillId="0" borderId="0" applyAlignment="1" pivotButton="0" quotePrefix="0" xfId="0">
      <alignment horizontal="left"/>
    </xf>
    <xf numFmtId="0" fontId="15" fillId="3" borderId="5" applyAlignment="1" pivotButton="0" quotePrefix="0" xfId="0">
      <alignment horizontal="right"/>
    </xf>
    <xf numFmtId="0" fontId="6" fillId="3" borderId="5" pivotButton="0" quotePrefix="0" xfId="0"/>
    <xf numFmtId="1" fontId="15" fillId="3" borderId="37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4" fontId="3" fillId="4" borderId="1" applyAlignment="1" pivotButton="0" quotePrefix="0" xfId="0">
      <alignment horizontal="right"/>
    </xf>
    <xf numFmtId="4" fontId="6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1" applyAlignment="1" pivotButton="0" quotePrefix="0" xfId="0">
      <alignment horizontal="left"/>
    </xf>
    <xf numFmtId="0" fontId="0" fillId="0" borderId="0" pivotButton="0" quotePrefix="0" xfId="0"/>
    <xf numFmtId="0" fontId="3" fillId="4" borderId="5" applyAlignment="1" pivotButton="0" quotePrefix="0" xfId="0">
      <alignment horizontal="center"/>
    </xf>
    <xf numFmtId="0" fontId="0" fillId="8" borderId="4" applyAlignment="1" pivotButton="0" quotePrefix="0" xfId="0">
      <alignment horizontal="center" vertical="center" wrapText="1"/>
    </xf>
    <xf numFmtId="0" fontId="0" fillId="8" borderId="8" applyAlignment="1" pivotButton="0" quotePrefix="0" xfId="0">
      <alignment horizontal="center" vertical="center" wrapText="1"/>
    </xf>
    <xf numFmtId="0" fontId="0" fillId="0" borderId="41" applyAlignment="1" pivotButton="0" quotePrefix="0" xfId="0">
      <alignment vertical="center" wrapText="1"/>
    </xf>
    <xf numFmtId="0" fontId="6" fillId="0" borderId="42" applyAlignment="1" pivotButton="0" quotePrefix="0" xfId="0">
      <alignment horizontal="center"/>
    </xf>
    <xf numFmtId="3" fontId="6" fillId="0" borderId="42" applyAlignment="1" pivotButton="0" quotePrefix="0" xfId="0">
      <alignment horizontal="center"/>
    </xf>
    <xf numFmtId="0" fontId="0" fillId="0" borderId="22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/>
    </xf>
    <xf numFmtId="0" fontId="3" fillId="4" borderId="4" applyAlignment="1" pivotButton="0" quotePrefix="0" xfId="0">
      <alignment horizontal="left"/>
    </xf>
    <xf numFmtId="0" fontId="3" fillId="4" borderId="4" applyAlignment="1" pivotButton="0" quotePrefix="0" xfId="0">
      <alignment horizontal="center"/>
    </xf>
    <xf numFmtId="3" fontId="3" fillId="4" borderId="4" applyAlignment="1" pivotButton="0" quotePrefix="0" xfId="0">
      <alignment horizontal="center"/>
    </xf>
    <xf numFmtId="3" fontId="3" fillId="4" borderId="8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3" fontId="3" fillId="4" borderId="7" applyAlignment="1" pivotButton="0" quotePrefix="0" xfId="0">
      <alignment horizontal="center"/>
    </xf>
    <xf numFmtId="0" fontId="3" fillId="2" borderId="1" applyAlignment="1" pivotButton="0" quotePrefix="0" xfId="0">
      <alignment horizontal="left"/>
    </xf>
    <xf numFmtId="1" fontId="3" fillId="2" borderId="1" applyAlignment="1" pivotButton="0" quotePrefix="0" xfId="0">
      <alignment horizontal="center"/>
    </xf>
    <xf numFmtId="1" fontId="3" fillId="2" borderId="1" applyAlignment="1" pivotButton="0" quotePrefix="1" xfId="0">
      <alignment horizontal="center"/>
    </xf>
    <xf numFmtId="3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2" borderId="1" applyAlignment="1" pivotButton="0" quotePrefix="1" xfId="0">
      <alignment horizontal="left"/>
    </xf>
    <xf numFmtId="0" fontId="3" fillId="2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3" fillId="0" borderId="0" applyAlignment="1" pivotButton="0" quotePrefix="1" xfId="0">
      <alignment horizontal="left"/>
    </xf>
    <xf numFmtId="3" fontId="3" fillId="0" borderId="0" pivotButton="0" quotePrefix="0" xfId="0"/>
    <xf numFmtId="173" fontId="6" fillId="0" borderId="25" applyAlignment="1" pivotButton="0" quotePrefix="0" xfId="0">
      <alignment horizontal="right"/>
    </xf>
    <xf numFmtId="1" fontId="3" fillId="0" borderId="25" applyAlignment="1" pivotButton="0" quotePrefix="0" xfId="0">
      <alignment horizontal="right"/>
    </xf>
    <xf numFmtId="0" fontId="6" fillId="0" borderId="16" pivotButton="0" quotePrefix="0" xfId="0"/>
    <xf numFmtId="0" fontId="6" fillId="0" borderId="25" pivotButton="0" quotePrefix="0" xfId="0"/>
    <xf numFmtId="174" fontId="6" fillId="0" borderId="0" pivotButton="0" quotePrefix="0" xfId="0"/>
    <xf numFmtId="0" fontId="3" fillId="0" borderId="0" applyAlignment="1" pivotButton="0" quotePrefix="1" xfId="0">
      <alignment horizontal="right"/>
    </xf>
    <xf numFmtId="0" fontId="19" fillId="0" borderId="25" pivotButton="0" quotePrefix="0" xfId="0"/>
    <xf numFmtId="9" fontId="19" fillId="0" borderId="25" pivotButton="0" quotePrefix="0" xfId="0"/>
    <xf numFmtId="1" fontId="15" fillId="3" borderId="20" applyAlignment="1" pivotButton="0" quotePrefix="0" xfId="0">
      <alignment horizontal="center"/>
    </xf>
    <xf numFmtId="0" fontId="3" fillId="0" borderId="6" pivotButton="0" quotePrefix="0" xfId="0"/>
    <xf numFmtId="0" fontId="8" fillId="3" borderId="21" applyAlignment="1" pivotButton="0" quotePrefix="0" xfId="0">
      <alignment horizontal="right"/>
    </xf>
    <xf numFmtId="1" fontId="8" fillId="3" borderId="6" applyAlignment="1" pivotButton="0" quotePrefix="0" xfId="0">
      <alignment horizontal="center"/>
    </xf>
    <xf numFmtId="1" fontId="8" fillId="3" borderId="35" applyAlignment="1" pivotButton="0" quotePrefix="1" xfId="0">
      <alignment horizontal="center"/>
    </xf>
    <xf numFmtId="0" fontId="8" fillId="3" borderId="17" applyAlignment="1" pivotButton="0" quotePrefix="0" xfId="0">
      <alignment horizontal="left"/>
    </xf>
    <xf numFmtId="1" fontId="8" fillId="3" borderId="41" applyAlignment="1" pivotButton="0" quotePrefix="1" xfId="0">
      <alignment horizontal="center"/>
    </xf>
    <xf numFmtId="1" fontId="8" fillId="3" borderId="22" applyAlignment="1" pivotButton="0" quotePrefix="1" xfId="0">
      <alignment horizontal="center"/>
    </xf>
    <xf numFmtId="0" fontId="10" fillId="0" borderId="18" pivotButton="0" quotePrefix="0" xfId="0"/>
    <xf numFmtId="0" fontId="10" fillId="0" borderId="18" applyAlignment="1" pivotButton="0" quotePrefix="0" xfId="0">
      <alignment horizontal="left"/>
    </xf>
    <xf numFmtId="175" fontId="3" fillId="0" borderId="8" pivotButton="0" quotePrefix="0" xfId="0"/>
    <xf numFmtId="0" fontId="3" fillId="0" borderId="18" applyAlignment="1" pivotButton="0" quotePrefix="0" xfId="0">
      <alignment horizontal="left"/>
    </xf>
    <xf numFmtId="0" fontId="3" fillId="0" borderId="19" applyAlignment="1" pivotButton="0" quotePrefix="0" xfId="0">
      <alignment horizontal="left"/>
    </xf>
    <xf numFmtId="4" fontId="3" fillId="0" borderId="19" applyAlignment="1" pivotButton="0" quotePrefix="0" xfId="0">
      <alignment horizontal="right"/>
    </xf>
    <xf numFmtId="4" fontId="6" fillId="0" borderId="19" applyAlignment="1" pivotButton="0" quotePrefix="0" xfId="0">
      <alignment horizontal="right"/>
    </xf>
    <xf numFmtId="0" fontId="15" fillId="3" borderId="21" applyAlignment="1" pivotButton="0" quotePrefix="0" xfId="0">
      <alignment horizontal="center"/>
    </xf>
    <xf numFmtId="0" fontId="6" fillId="3" borderId="20" applyAlignment="1" pivotButton="0" quotePrefix="0" xfId="0">
      <alignment horizontal="center"/>
    </xf>
    <xf numFmtId="0" fontId="15" fillId="3" borderId="42" applyAlignment="1" pivotButton="0" quotePrefix="0" xfId="0">
      <alignment horizontal="left"/>
    </xf>
    <xf numFmtId="49" fontId="15" fillId="3" borderId="42" applyAlignment="1" pivotButton="0" quotePrefix="0" xfId="0">
      <alignment horizontal="center"/>
    </xf>
    <xf numFmtId="0" fontId="3" fillId="4" borderId="41" applyAlignment="1" pivotButton="0" quotePrefix="0" xfId="0">
      <alignment horizontal="left"/>
    </xf>
    <xf numFmtId="0" fontId="15" fillId="3" borderId="21" applyAlignment="1" pivotButton="0" quotePrefix="0" xfId="0">
      <alignment horizontal="left"/>
    </xf>
    <xf numFmtId="0" fontId="15" fillId="3" borderId="20" applyAlignment="1" pivotButton="0" quotePrefix="0" xfId="0">
      <alignment horizontal="right"/>
    </xf>
    <xf numFmtId="49" fontId="15" fillId="3" borderId="41" applyAlignment="1" pivotButton="0" quotePrefix="0" xfId="0">
      <alignment horizontal="center"/>
    </xf>
    <xf numFmtId="164" fontId="0" fillId="0" borderId="26" applyAlignment="1" pivotButton="0" quotePrefix="0" xfId="0">
      <alignment horizontal="right"/>
    </xf>
    <xf numFmtId="0" fontId="3" fillId="4" borderId="17" applyAlignment="1" pivotButton="0" quotePrefix="0" xfId="0">
      <alignment horizontal="left"/>
    </xf>
    <xf numFmtId="0" fontId="15" fillId="3" borderId="21" applyAlignment="1" pivotButton="0" quotePrefix="0" xfId="0">
      <alignment horizontal="right"/>
    </xf>
    <xf numFmtId="1" fontId="15" fillId="3" borderId="42" applyAlignment="1" pivotButton="0" quotePrefix="0" xfId="0">
      <alignment horizontal="center"/>
    </xf>
    <xf numFmtId="164" fontId="6" fillId="7" borderId="40" applyAlignment="1" pivotButton="0" quotePrefix="0" xfId="0">
      <alignment horizontal="right"/>
    </xf>
    <xf numFmtId="1" fontId="15" fillId="3" borderId="41" applyAlignment="1" pivotButton="0" quotePrefix="0" xfId="0">
      <alignment horizontal="center"/>
    </xf>
    <xf numFmtId="164" fontId="15" fillId="3" borderId="21" applyAlignment="1" pivotButton="0" quotePrefix="0" xfId="0">
      <alignment horizontal="right"/>
    </xf>
    <xf numFmtId="164" fontId="15" fillId="3" borderId="35" applyAlignment="1" pivotButton="0" quotePrefix="0" xfId="0">
      <alignment horizontal="center"/>
    </xf>
    <xf numFmtId="164" fontId="15" fillId="3" borderId="17" applyAlignment="1" pivotButton="0" quotePrefix="0" xfId="0">
      <alignment horizontal="left"/>
    </xf>
    <xf numFmtId="164" fontId="15" fillId="3" borderId="42" applyAlignment="1" pivotButton="0" quotePrefix="0" xfId="0">
      <alignment horizontal="center"/>
    </xf>
    <xf numFmtId="0" fontId="6" fillId="3" borderId="21" pivotButton="0" quotePrefix="0" xfId="0"/>
    <xf numFmtId="1" fontId="15" fillId="3" borderId="35" applyAlignment="1" pivotButton="0" quotePrefix="0" xfId="0">
      <alignment horizontal="center"/>
    </xf>
    <xf numFmtId="0" fontId="15" fillId="3" borderId="42" applyAlignment="1" pivotButton="0" quotePrefix="0" xfId="0">
      <alignment horizontal="center"/>
    </xf>
    <xf numFmtId="0" fontId="15" fillId="3" borderId="41" applyAlignment="1" pivotButton="0" quotePrefix="0" xfId="0">
      <alignment horizontal="left"/>
    </xf>
    <xf numFmtId="0" fontId="15" fillId="3" borderId="41" applyAlignment="1" pivotButton="0" quotePrefix="0" xfId="0">
      <alignment horizontal="center"/>
    </xf>
    <xf numFmtId="0" fontId="3" fillId="4" borderId="41" applyAlignment="1" pivotButton="0" quotePrefix="0" xfId="0">
      <alignment horizontal="center"/>
    </xf>
    <xf numFmtId="3" fontId="3" fillId="4" borderId="42" applyAlignment="1" pivotButton="0" quotePrefix="0" xfId="0">
      <alignment horizontal="center"/>
    </xf>
    <xf numFmtId="0" fontId="14" fillId="0" borderId="0" applyAlignment="1" pivotButton="0" quotePrefix="1" xfId="0">
      <alignment horizontal="left"/>
    </xf>
    <xf numFmtId="0" fontId="6" fillId="0" borderId="19" pivotButton="0" quotePrefix="0" xfId="0"/>
    <xf numFmtId="0" fontId="3" fillId="0" borderId="7" applyAlignment="1" pivotButton="0" quotePrefix="1" xfId="0">
      <alignment horizontal="left"/>
    </xf>
    <xf numFmtId="3" fontId="3" fillId="0" borderId="7" pivotButton="0" quotePrefix="0" xfId="0"/>
    <xf numFmtId="0" fontId="3" fillId="0" borderId="7" pivotButton="0" quotePrefix="0" xfId="0"/>
    <xf numFmtId="0" fontId="3" fillId="0" borderId="6" applyAlignment="1" pivotButton="0" quotePrefix="1" xfId="0">
      <alignment horizontal="left"/>
    </xf>
    <xf numFmtId="0" fontId="3" fillId="0" borderId="6" applyAlignment="1" pivotButton="0" quotePrefix="0" xfId="0">
      <alignment horizontal="left"/>
    </xf>
    <xf numFmtId="0" fontId="3" fillId="0" borderId="6" applyAlignment="1" pivotButton="0" quotePrefix="1" xfId="0">
      <alignment horizontal="left" wrapText="1"/>
    </xf>
    <xf numFmtId="1" fontId="8" fillId="3" borderId="6" applyAlignment="1" pivotButton="0" quotePrefix="0" xfId="0">
      <alignment horizontal="center"/>
    </xf>
    <xf numFmtId="0" fontId="9" fillId="0" borderId="7" pivotButton="0" quotePrefix="0" xfId="0"/>
    <xf numFmtId="0" fontId="9" fillId="0" borderId="8" pivotButton="0" quotePrefix="0" xfId="0"/>
    <xf numFmtId="0" fontId="14" fillId="0" borderId="18" applyAlignment="1" pivotButton="0" quotePrefix="0" xfId="0">
      <alignment horizontal="right"/>
    </xf>
    <xf numFmtId="0" fontId="9" fillId="0" borderId="37" pivotButton="0" quotePrefix="0" xfId="0"/>
    <xf numFmtId="4" fontId="15" fillId="3" borderId="21" applyAlignment="1" pivotButton="0" quotePrefix="0" xfId="0">
      <alignment horizontal="center"/>
    </xf>
    <xf numFmtId="0" fontId="9" fillId="0" borderId="20" pivotButton="0" quotePrefix="0" xfId="0"/>
    <xf numFmtId="1" fontId="15" fillId="3" borderId="20" applyAlignment="1" pivotButton="0" quotePrefix="0" xfId="0">
      <alignment horizontal="center"/>
    </xf>
    <xf numFmtId="0" fontId="17" fillId="0" borderId="21" applyAlignment="1" pivotButton="0" quotePrefix="0" xfId="0">
      <alignment horizontal="center"/>
    </xf>
    <xf numFmtId="0" fontId="9" fillId="0" borderId="35" pivotButton="0" quotePrefix="0" xfId="0"/>
    <xf numFmtId="0" fontId="17" fillId="0" borderId="17" applyAlignment="1" pivotButton="0" quotePrefix="0" xfId="0">
      <alignment horizontal="center"/>
    </xf>
    <xf numFmtId="0" fontId="9" fillId="0" borderId="22" pivotButton="0" quotePrefix="0" xfId="0"/>
    <xf numFmtId="1" fontId="15" fillId="3" borderId="21" applyAlignment="1" pivotButton="0" quotePrefix="0" xfId="0">
      <alignment horizontal="center"/>
    </xf>
    <xf numFmtId="164" fontId="15" fillId="3" borderId="21" applyAlignment="1" pivotButton="0" quotePrefix="0" xfId="0">
      <alignment horizontal="center"/>
    </xf>
    <xf numFmtId="0" fontId="3" fillId="4" borderId="40" applyAlignment="1" pivotButton="0" quotePrefix="0" xfId="0">
      <alignment horizontal="center"/>
    </xf>
    <xf numFmtId="0" fontId="9" fillId="0" borderId="25" pivotButton="0" quotePrefix="0" xfId="0"/>
    <xf numFmtId="0" fontId="9" fillId="0" borderId="24" pivotButton="0" quotePrefix="0" xfId="0"/>
    <xf numFmtId="1" fontId="8" fillId="3" borderId="4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42" fontId="12" fillId="0" borderId="0" applyAlignment="1" pivotButton="0" quotePrefix="0" xfId="0">
      <alignment horizontal="left"/>
    </xf>
    <xf numFmtId="165" fontId="13" fillId="0" borderId="4" pivotButton="0" quotePrefix="0" xfId="0"/>
    <xf numFmtId="0" fontId="14" fillId="0" borderId="42" applyAlignment="1" pivotButton="0" quotePrefix="0" xfId="0">
      <alignment horizontal="right"/>
    </xf>
    <xf numFmtId="0" fontId="0" fillId="0" borderId="37" pivotButton="0" quotePrefix="0" xfId="0"/>
    <xf numFmtId="166" fontId="12" fillId="0" borderId="0" applyAlignment="1" pivotButton="0" quotePrefix="0" xfId="0">
      <alignment horizontal="center"/>
    </xf>
    <xf numFmtId="42" fontId="10" fillId="6" borderId="14" applyAlignment="1" pivotButton="0" quotePrefix="0" xfId="0">
      <alignment horizontal="left" wrapText="1"/>
    </xf>
    <xf numFmtId="42" fontId="10" fillId="6" borderId="14" applyAlignment="1" pivotButton="0" quotePrefix="0" xfId="0">
      <alignment horizontal="left"/>
    </xf>
    <xf numFmtId="42" fontId="13" fillId="0" borderId="0" applyAlignment="1" pivotButton="0" quotePrefix="0" xfId="0">
      <alignment horizontal="left"/>
    </xf>
    <xf numFmtId="175" fontId="3" fillId="0" borderId="8" pivotButton="0" quotePrefix="0" xfId="0"/>
    <xf numFmtId="167" fontId="11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9" fontId="12" fillId="0" borderId="4" pivotButton="0" quotePrefix="0" xfId="0"/>
    <xf numFmtId="168" fontId="0" fillId="0" borderId="0" pivotButton="0" quotePrefix="0" xfId="0"/>
    <xf numFmtId="170" fontId="6" fillId="0" borderId="0" applyAlignment="1" pivotButton="0" quotePrefix="0" xfId="0">
      <alignment horizontal="left"/>
    </xf>
    <xf numFmtId="42" fontId="6" fillId="0" borderId="0" applyAlignment="1" pivotButton="0" quotePrefix="0" xfId="0">
      <alignment horizontal="left"/>
    </xf>
    <xf numFmtId="42" fontId="3" fillId="0" borderId="0" applyAlignment="1" pivotButton="0" quotePrefix="0" xfId="0">
      <alignment horizontal="left"/>
    </xf>
    <xf numFmtId="0" fontId="0" fillId="0" borderId="20" pivotButton="0" quotePrefix="0" xfId="0"/>
    <xf numFmtId="42" fontId="6" fillId="0" borderId="1" applyAlignment="1" pivotButton="0" quotePrefix="0" xfId="0">
      <alignment horizontal="left"/>
    </xf>
    <xf numFmtId="171" fontId="6" fillId="0" borderId="1" applyAlignment="1" pivotButton="0" quotePrefix="0" xfId="0">
      <alignment horizontal="right"/>
    </xf>
    <xf numFmtId="172" fontId="6" fillId="0" borderId="1" applyAlignment="1" pivotButton="0" quotePrefix="0" xfId="0">
      <alignment horizontal="right"/>
    </xf>
    <xf numFmtId="42" fontId="3" fillId="4" borderId="19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0" fillId="0" borderId="35" pivotButton="0" quotePrefix="0" xfId="0"/>
    <xf numFmtId="0" fontId="17" fillId="0" borderId="41" applyAlignment="1" pivotButton="0" quotePrefix="0" xfId="0">
      <alignment horizontal="center"/>
    </xf>
    <xf numFmtId="0" fontId="0" fillId="0" borderId="22" pivotButton="0" quotePrefix="0" xfId="0"/>
    <xf numFmtId="171" fontId="6" fillId="0" borderId="9" pivotButton="0" quotePrefix="0" xfId="0"/>
    <xf numFmtId="171" fontId="3" fillId="4" borderId="1" pivotButton="0" quotePrefix="0" xfId="0"/>
    <xf numFmtId="0" fontId="3" fillId="4" borderId="1" applyAlignment="1" pivotButton="0" quotePrefix="0" xfId="0">
      <alignment horizontal="center"/>
    </xf>
    <xf numFmtId="0" fontId="0" fillId="0" borderId="25" pivotButton="0" quotePrefix="0" xfId="0"/>
    <xf numFmtId="0" fontId="0" fillId="0" borderId="24" pivotButton="0" quotePrefix="0" xfId="0"/>
    <xf numFmtId="173" fontId="6" fillId="0" borderId="25" applyAlignment="1" pivotButton="0" quotePrefix="0" xfId="0">
      <alignment horizontal="right"/>
    </xf>
    <xf numFmtId="174" fontId="6" fillId="0" borderId="0" pivotButton="0" quotePrefix="0" xfId="0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workbookViewId="0">
      <selection activeCell="A1" sqref="A1"/>
    </sheetView>
  </sheetViews>
  <sheetFormatPr baseColWidth="10" defaultColWidth="14.5" defaultRowHeight="15" customHeight="1"/>
  <cols>
    <col width="16.83203125" customWidth="1" style="156" min="1" max="1"/>
    <col width="8.6640625" customWidth="1" style="156" min="2" max="2"/>
    <col width="22.5" customWidth="1" style="156" min="3" max="3"/>
    <col width="11.5" customWidth="1" style="156" min="4" max="23"/>
  </cols>
  <sheetData>
    <row r="1" ht="12.75" customHeight="1" s="156">
      <c r="A1" s="1" t="inlineStr">
        <is>
          <t>Rubro</t>
        </is>
      </c>
      <c r="B1" s="4" t="inlineStr">
        <is>
          <t>Total país</t>
        </is>
      </c>
      <c r="C1" s="1" t="inlineStr">
        <is>
          <t>Ajuste x Coop. Telefónicas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12.75" customHeight="1" s="156">
      <c r="A2" s="3" t="inlineStr">
        <is>
          <t>Servicios Públicos</t>
        </is>
      </c>
      <c r="B2" s="5" t="n">
        <v>921</v>
      </c>
      <c r="C2" s="5">
        <f>ROUND(B2*$C$12/$B$12,0)</f>
        <v/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12.75" customHeight="1" s="156">
      <c r="A3" s="3" t="inlineStr">
        <is>
          <t>Agropecuarias</t>
        </is>
      </c>
      <c r="B3" s="5" t="n">
        <v>693</v>
      </c>
      <c r="C3" s="5">
        <f>ROUND(B3*$C$12/$B$12,0)</f>
        <v/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 ht="12.75" customHeight="1" s="156">
      <c r="A4" s="3" t="inlineStr">
        <is>
          <t>Consumo</t>
        </is>
      </c>
      <c r="B4" s="5" t="n">
        <v>366</v>
      </c>
      <c r="C4" s="5">
        <f>ROUND(B4*$C$12/$B$12,0)</f>
        <v/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 ht="12.75" customHeight="1" s="156">
      <c r="A5" s="3" t="inlineStr">
        <is>
          <t>Trabajo</t>
        </is>
      </c>
      <c r="B5" s="5" t="n">
        <v>331</v>
      </c>
      <c r="C5" s="5">
        <f>ROUND(B5*$C$12/$B$12,0)</f>
        <v/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 ht="12.75" customHeight="1" s="156">
      <c r="A6" s="3" t="inlineStr">
        <is>
          <t>Vivienda</t>
        </is>
      </c>
      <c r="B6" s="5" t="n">
        <v>195</v>
      </c>
      <c r="C6" s="5">
        <f>ROUND(B6*$C$12/$B$12,0)</f>
        <v/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 ht="12.75" customHeight="1" s="156">
      <c r="A7" s="3" t="inlineStr">
        <is>
          <t>Provisión</t>
        </is>
      </c>
      <c r="B7" s="5" t="n">
        <v>138</v>
      </c>
      <c r="C7" s="5">
        <f>ROUND(B7*$C$12/$B$12,0)</f>
        <v/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 ht="12.75" customHeight="1" s="156">
      <c r="A8" s="3" t="inlineStr">
        <is>
          <t>Bancarias</t>
        </is>
      </c>
      <c r="B8" s="5" t="n">
        <v>68</v>
      </c>
      <c r="C8" s="5">
        <f>ROUND(B8*$C$12/$B$12,0)</f>
        <v/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 ht="12.75" customHeight="1" s="156">
      <c r="A9" s="3" t="inlineStr">
        <is>
          <t>Seguros</t>
        </is>
      </c>
      <c r="B9" s="5" t="n">
        <v>18</v>
      </c>
      <c r="C9" s="5">
        <f>ROUND(B9*$C$12/$B$12,0)</f>
        <v/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 ht="12.75" customHeight="1" s="156">
      <c r="A10" s="3" t="inlineStr">
        <is>
          <t>Escolares</t>
        </is>
      </c>
      <c r="B10" s="5" t="n">
        <v>14</v>
      </c>
      <c r="C10" s="5">
        <f>ROUND(B10*$C$12/$B$12,0)</f>
        <v/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 ht="12.75" customHeight="1" s="156">
      <c r="A11" s="3" t="inlineStr">
        <is>
          <t>Enseñanza</t>
        </is>
      </c>
      <c r="B11" s="5" t="n">
        <v>12</v>
      </c>
      <c r="C11" s="5">
        <f>ROUND(B11*$C$12/$B$12,0)</f>
        <v/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 ht="12.75" customHeight="1" s="156">
      <c r="A12" s="6" t="inlineStr">
        <is>
          <t>Total</t>
        </is>
      </c>
      <c r="B12" s="6">
        <f>SUM(B2:B11)</f>
        <v/>
      </c>
      <c r="C12" s="6">
        <f>'Sub-Total Subrubros Argentina'!C39</f>
        <v/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 ht="12.75" customHeight="1" s="156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 ht="12.75" customHeight="1" s="156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 ht="12.75" customHeight="1" s="156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 ht="12.75" customHeight="1" s="15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 ht="12.75" customHeight="1" s="156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 ht="12.75" customHeight="1" s="156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 ht="12.75" customHeight="1" s="156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 ht="12.75" customHeight="1" s="156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 ht="12.75" customHeight="1" s="156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 ht="12.75" customHeight="1" s="156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 ht="12.75" customHeight="1" s="156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 ht="12.75" customHeight="1" s="156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 ht="12.75" customHeight="1" s="156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 ht="12.75" customHeight="1" s="15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 ht="12.75" customHeight="1" s="156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 ht="12.75" customHeight="1" s="156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 ht="12.75" customHeight="1" s="156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 ht="12.75" customHeight="1" s="156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 ht="12.75" customHeight="1" s="156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 ht="12.75" customHeight="1" s="156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 ht="12.75" customHeight="1" s="156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 ht="12.75" customHeight="1" s="156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 ht="12.75" customHeight="1" s="156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 ht="12.75" customHeight="1" s="15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 ht="12.75" customHeight="1" s="156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 ht="12.75" customHeight="1" s="156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 ht="12.75" customHeight="1" s="156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 ht="12.75" customHeight="1" s="15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 ht="12.75" customHeight="1" s="156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 ht="12.75" customHeight="1" s="15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 ht="12.75" customHeight="1" s="15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 ht="12.75" customHeight="1" s="156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 ht="12.75" customHeight="1" s="15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 ht="12.75" customHeight="1" s="15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 ht="12.75" customHeight="1" s="15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 ht="12.75" customHeight="1" s="15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 ht="12.75" customHeight="1" s="156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 ht="12.75" customHeight="1" s="15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 ht="12.75" customHeight="1" s="15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 ht="12.75" customHeight="1" s="15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 ht="12.75" customHeight="1" s="15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 ht="12.75" customHeight="1" s="15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 ht="12.75" customHeight="1" s="15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 ht="12.75" customHeight="1" s="1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 ht="12.75" customHeight="1" s="15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 ht="12.75" customHeight="1" s="15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 ht="12.75" customHeight="1" s="15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 ht="12.75" customHeight="1" s="15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 ht="12.75" customHeight="1" s="15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 ht="12.75" customHeight="1" s="15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 ht="12.75" customHeight="1" s="15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 ht="12.75" customHeight="1" s="15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 ht="12.75" customHeight="1" s="15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 ht="12.75" customHeight="1" s="15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 ht="12.75" customHeight="1" s="15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 ht="12.75" customHeight="1" s="15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 ht="12.75" customHeight="1" s="15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 ht="12.75" customHeight="1" s="15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 ht="12.75" customHeight="1" s="15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 ht="12.75" customHeight="1" s="15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 ht="12.75" customHeight="1" s="15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 ht="12.75" customHeight="1" s="15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 ht="12.75" customHeight="1" s="15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 ht="12.75" customHeight="1" s="15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 ht="12.75" customHeight="1" s="15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 ht="12.75" customHeight="1" s="15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 ht="12.75" customHeight="1" s="15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 ht="12.75" customHeight="1" s="15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 ht="12.75" customHeight="1" s="15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 ht="12.75" customHeight="1" s="15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 ht="12.75" customHeight="1" s="15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 ht="12.75" customHeight="1" s="15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 ht="12.75" customHeight="1" s="15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 ht="12.75" customHeight="1" s="15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 ht="12.75" customHeight="1" s="15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 ht="12.75" customHeight="1" s="15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 ht="12.75" customHeight="1" s="15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 ht="12.75" customHeight="1" s="15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 ht="12.75" customHeight="1" s="15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 ht="12.75" customHeight="1" s="15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 ht="12.75" customHeight="1" s="15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 ht="12.75" customHeight="1" s="15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 ht="12.75" customHeight="1" s="15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 ht="12.75" customHeight="1" s="15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 ht="12.75" customHeight="1" s="15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 ht="12.75" customHeight="1" s="15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 ht="12.75" customHeight="1" s="15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 ht="12.75" customHeight="1" s="15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 ht="12.75" customHeight="1" s="15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 ht="12.75" customHeight="1" s="15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 ht="12.75" customHeight="1" s="15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 ht="12.75" customHeight="1" s="15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 ht="12.75" customHeight="1" s="15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 ht="12.75" customHeight="1" s="15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 ht="12.75" customHeight="1" s="15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 ht="12.75" customHeight="1" s="15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 ht="12.75" customHeight="1" s="15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 ht="12.75" customHeight="1" s="15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 ht="12.75" customHeight="1" s="15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 ht="12.75" customHeight="1" s="15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 ht="12.75" customHeight="1" s="15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 ht="12.75" customHeight="1" s="15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 ht="12.75" customHeight="1" s="15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 ht="12.75" customHeight="1" s="15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 ht="12.75" customHeight="1" s="15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 ht="12.75" customHeight="1" s="15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 ht="12.75" customHeight="1" s="15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 ht="12.75" customHeight="1" s="15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</row>
    <row r="121" ht="12.75" customHeight="1" s="15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</row>
    <row r="122" ht="12.75" customHeight="1" s="15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</row>
    <row r="123" ht="12.75" customHeight="1" s="15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</row>
    <row r="124" ht="12.75" customHeight="1" s="15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</row>
    <row r="125" ht="12.75" customHeight="1" s="15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</row>
    <row r="126" ht="12.75" customHeight="1" s="15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</row>
    <row r="127" ht="12.75" customHeight="1" s="15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</row>
    <row r="128" ht="12.75" customHeight="1" s="15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</row>
    <row r="129" ht="12.75" customHeight="1" s="15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</row>
    <row r="130" ht="12.75" customHeight="1" s="15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</row>
    <row r="131" ht="12.75" customHeight="1" s="15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</row>
    <row r="132" ht="12.75" customHeight="1" s="15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</row>
    <row r="133" ht="12.75" customHeight="1" s="15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</row>
    <row r="134" ht="12.75" customHeight="1" s="15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</row>
    <row r="135" ht="12.75" customHeight="1" s="15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</row>
    <row r="136" ht="12.75" customHeight="1" s="15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</row>
    <row r="137" ht="12.75" customHeight="1" s="15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</row>
    <row r="138" ht="12.75" customHeight="1" s="15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</row>
    <row r="139" ht="12.75" customHeight="1" s="15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</row>
    <row r="140" ht="12.75" customHeight="1" s="15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</row>
    <row r="141" ht="12.75" customHeight="1" s="15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</row>
    <row r="142" ht="12.75" customHeight="1" s="15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</row>
    <row r="143" ht="12.75" customHeight="1" s="15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</row>
    <row r="144" ht="12.75" customHeight="1" s="15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</row>
    <row r="145" ht="12.75" customHeight="1" s="15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</row>
    <row r="146" ht="12.75" customHeight="1" s="15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</row>
    <row r="147" ht="12.75" customHeight="1" s="15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</row>
    <row r="148" ht="12.75" customHeight="1" s="15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</row>
    <row r="149" ht="12.75" customHeight="1" s="15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</row>
    <row r="150" ht="12.75" customHeight="1" s="15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</row>
    <row r="151" ht="12.75" customHeight="1" s="15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</row>
    <row r="152" ht="12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</row>
    <row r="153" ht="12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</row>
    <row r="154" ht="12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</row>
    <row r="155" ht="12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</row>
    <row r="156" ht="12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</row>
    <row r="157" ht="12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</row>
    <row r="158" ht="12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</row>
    <row r="159" ht="12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</row>
    <row r="160" ht="12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</row>
    <row r="161" ht="12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</row>
    <row r="162" ht="12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</row>
    <row r="163" ht="12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</row>
    <row r="164" ht="12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</row>
    <row r="165" ht="12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</row>
    <row r="166" ht="12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</row>
    <row r="167" ht="12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</row>
    <row r="168" ht="12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</row>
    <row r="169" ht="12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</row>
    <row r="170" ht="12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</row>
    <row r="171" ht="12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</row>
    <row r="172" ht="12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</row>
    <row r="173" ht="12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</row>
    <row r="174" ht="12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</row>
    <row r="175" ht="12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</row>
    <row r="176" ht="12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</row>
    <row r="177" ht="12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</row>
    <row r="178" ht="12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</row>
    <row r="179" ht="12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</row>
    <row r="180" ht="12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</row>
    <row r="181" ht="12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</row>
    <row r="182" ht="12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</row>
    <row r="183" ht="12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</row>
    <row r="184" ht="12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</row>
    <row r="185" ht="12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</row>
    <row r="186" ht="12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</row>
    <row r="187" ht="12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</row>
    <row r="188" ht="12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</row>
    <row r="189" ht="12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</row>
    <row r="190" ht="12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</row>
    <row r="191" ht="12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</row>
    <row r="192" ht="12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</row>
    <row r="193" ht="12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</row>
    <row r="194" ht="12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</row>
    <row r="195" ht="12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</row>
    <row r="196" ht="12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</row>
    <row r="197" ht="12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</row>
    <row r="198" ht="12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</row>
    <row r="199" ht="12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</row>
    <row r="200" ht="12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</row>
    <row r="201" ht="12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</row>
    <row r="202" ht="12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</row>
    <row r="203" ht="12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</row>
    <row r="204" ht="12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</row>
    <row r="205" ht="12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</row>
    <row r="206" ht="12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</row>
    <row r="207" ht="12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</row>
    <row r="208" ht="12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</row>
    <row r="209" ht="12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</row>
    <row r="210" ht="12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</row>
    <row r="211" ht="12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</row>
    <row r="212" ht="12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</row>
    <row r="213" ht="12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</row>
    <row r="214" ht="12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</row>
    <row r="215" ht="12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</row>
    <row r="216" ht="12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</row>
    <row r="217" ht="12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</row>
    <row r="218" ht="12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</row>
    <row r="219" ht="12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</row>
    <row r="220" ht="12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</row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40"/>
  <sheetViews>
    <sheetView workbookViewId="0">
      <selection activeCell="A1" sqref="A1"/>
    </sheetView>
  </sheetViews>
  <sheetFormatPr baseColWidth="10" defaultColWidth="14.5" defaultRowHeight="15" customHeight="1"/>
  <cols>
    <col width="21.33203125" customWidth="1" style="156" min="1" max="1"/>
    <col width="16.6640625" customWidth="1" style="156" min="2" max="2"/>
    <col width="22.5" customWidth="1" style="156" min="3" max="3"/>
    <col width="11.5" customWidth="1" style="156" min="4" max="23"/>
  </cols>
  <sheetData>
    <row r="1" ht="12.75" customHeight="1" s="156">
      <c r="A1" s="1" t="inlineStr">
        <is>
          <t>Subrubro</t>
        </is>
      </c>
      <c r="B1" s="4" t="inlineStr">
        <is>
          <t>Total País</t>
        </is>
      </c>
      <c r="C1" s="1" t="inlineStr">
        <is>
          <t>Ajuste x Coop. Telefónicas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12.75" customHeight="1" s="156">
      <c r="A2" s="3" t="inlineStr">
        <is>
          <t>Eléctricas</t>
        </is>
      </c>
      <c r="B2" s="5" t="n">
        <v>473</v>
      </c>
      <c r="C2" s="5">
        <f>ROUND(B2*$C$11/$B$11,0)</f>
        <v/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12.75" customHeight="1" s="156">
      <c r="A3" s="3" t="inlineStr">
        <is>
          <t>Agropecuarias</t>
        </is>
      </c>
      <c r="B3" s="5" t="n">
        <v>408</v>
      </c>
      <c r="C3" s="5">
        <f>ROUND(B3*$C$11/$B$11,0)</f>
        <v/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 ht="12.75" customHeight="1" s="156">
      <c r="A4" s="3" t="inlineStr">
        <is>
          <t>de Trabajo</t>
        </is>
      </c>
      <c r="B4" s="5" t="n">
        <v>331</v>
      </c>
      <c r="C4" s="5">
        <f>ROUND(B4*$C$11/$B$11,0)</f>
        <v/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 ht="12.75" customHeight="1" s="156">
      <c r="A5" s="3" t="inlineStr">
        <is>
          <t>Ganaderas</t>
        </is>
      </c>
      <c r="B5" s="5" t="n">
        <v>197</v>
      </c>
      <c r="C5" s="5">
        <f>ROUND(B5*$C$11/$B$11,0)</f>
        <v/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 ht="12.75" customHeight="1" s="156">
      <c r="A6" s="3" t="inlineStr">
        <is>
          <t>de Vivienda</t>
        </is>
      </c>
      <c r="B6" s="5" t="n">
        <v>195</v>
      </c>
      <c r="C6" s="5">
        <f>ROUND(B6*$C$11/$B$11,0)</f>
        <v/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 ht="12.75" customHeight="1" s="156">
      <c r="A7" s="3" t="inlineStr">
        <is>
          <t>de Consumo</t>
        </is>
      </c>
      <c r="B7" s="5" t="n">
        <v>191</v>
      </c>
      <c r="C7" s="5">
        <f>ROUND(B7*$C$11/$B$11,0)</f>
        <v/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 ht="12.75" customHeight="1" s="156">
      <c r="A8" s="3" t="inlineStr">
        <is>
          <t>de Servicios Públicos</t>
        </is>
      </c>
      <c r="B8" s="5" t="n">
        <v>175</v>
      </c>
      <c r="C8" s="5">
        <f>ROUND(B8*$C$11/$B$11,0)</f>
        <v/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 ht="12.75" customHeight="1" s="156">
      <c r="A9" s="3" t="inlineStr">
        <is>
          <t>de Provisión</t>
        </is>
      </c>
      <c r="B9" s="5" t="n">
        <v>138</v>
      </c>
      <c r="C9" s="5">
        <f>ROUND(B9*$C$11/$B$11,0)</f>
        <v/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 ht="12.75" customHeight="1" s="156">
      <c r="A10" s="3" t="inlineStr">
        <is>
          <t>de Agua</t>
        </is>
      </c>
      <c r="B10" s="5" t="n">
        <v>131</v>
      </c>
      <c r="C10" s="5">
        <f>ROUND(B10*$C$11/$B$11,0)</f>
        <v/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 ht="12.75" customHeight="1" s="156">
      <c r="A11" s="3" t="inlineStr">
        <is>
          <t>Telefónicas</t>
        </is>
      </c>
      <c r="B11" s="5" t="n">
        <v>113</v>
      </c>
      <c r="C11" s="5" t="n">
        <v>296</v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 ht="12.75" customHeight="1" s="156">
      <c r="A12" s="3" t="inlineStr">
        <is>
          <t>de Transporte</t>
        </is>
      </c>
      <c r="B12" s="5" t="n">
        <v>86</v>
      </c>
      <c r="C12" s="5">
        <f>ROUND(B12*$C$11/$B$11,0)</f>
        <v/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 ht="12.75" customHeight="1" s="156">
      <c r="A13" s="3" t="inlineStr">
        <is>
          <t>Ahorro/Crédito/Emprend</t>
        </is>
      </c>
      <c r="B13" s="5" t="n">
        <v>68</v>
      </c>
      <c r="C13" s="5">
        <f>ROUND(B13*$C$11/$B$11,0)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 ht="12.75" customHeight="1" s="156">
      <c r="A14" s="3" t="inlineStr">
        <is>
          <t>de Fletes/Remis/Taxis</t>
        </is>
      </c>
      <c r="B14" s="5" t="n">
        <v>44</v>
      </c>
      <c r="C14" s="5">
        <f>ROUND(B14*$C$11/$B$11,0)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 ht="12.75" customHeight="1" s="156">
      <c r="A15" s="3" t="inlineStr">
        <is>
          <t>Vitivinícola</t>
        </is>
      </c>
      <c r="B15" s="5" t="n">
        <v>30</v>
      </c>
      <c r="C15" s="5">
        <f>ROUND(B15*$C$11/$B$11,0)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 ht="12.75" customHeight="1" s="156">
      <c r="A16" s="3" t="inlineStr">
        <is>
          <t>Frutihortícolas</t>
        </is>
      </c>
      <c r="B16" s="5" t="n">
        <v>25</v>
      </c>
      <c r="C16" s="5">
        <f>ROUND(B16*$C$11/$B$11,0)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 ht="12.75" customHeight="1" s="156">
      <c r="A17" s="3" t="inlineStr">
        <is>
          <t>de Salud: Medicina</t>
        </is>
      </c>
      <c r="B17" s="5" t="n">
        <v>18</v>
      </c>
      <c r="C17" s="5">
        <f>ROUND(B17*$C$11/$B$11,0)</f>
        <v/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 ht="12.75" customHeight="1" s="156">
      <c r="A18" s="3" t="inlineStr">
        <is>
          <t>de Seguros</t>
        </is>
      </c>
      <c r="B18" s="5" t="n">
        <v>18</v>
      </c>
      <c r="C18" s="5">
        <f>ROUND(B18*$C$11/$B$11,0)</f>
        <v/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 ht="12.75" customHeight="1" s="156">
      <c r="A19" s="3" t="inlineStr">
        <is>
          <t>de Escolares/Jardines</t>
        </is>
      </c>
      <c r="B19" s="5" t="n">
        <v>14</v>
      </c>
      <c r="C19" s="5">
        <f>ROUND(B19*$C$11/$B$11,0)</f>
        <v/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 ht="12.75" customHeight="1" s="156">
      <c r="A20" s="3" t="inlineStr">
        <is>
          <t>de Asistencia Social</t>
        </is>
      </c>
      <c r="B20" s="5" t="n">
        <v>13</v>
      </c>
      <c r="C20" s="5">
        <f>ROUND(B20*$C$11/$B$11,0)</f>
        <v/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 ht="12.75" customHeight="1" s="156">
      <c r="A21" s="3" t="inlineStr">
        <is>
          <t>Educación</t>
        </is>
      </c>
      <c r="B21" s="5" t="n">
        <v>12</v>
      </c>
      <c r="C21" s="5">
        <f>ROUND(B21*$C$11/$B$11,0)</f>
        <v/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 ht="12.75" customHeight="1" s="156">
      <c r="A22" s="3" t="inlineStr">
        <is>
          <t>Arroceras</t>
        </is>
      </c>
      <c r="B22" s="5" t="n">
        <v>11</v>
      </c>
      <c r="C22" s="5">
        <f>ROUND(B22*$C$11/$B$11,0)</f>
        <v/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 ht="12.75" customHeight="1" s="156">
      <c r="A23" s="3" t="inlineStr">
        <is>
          <t>de Salud: Farmacéuticas</t>
        </is>
      </c>
      <c r="B23" s="5" t="n">
        <v>9</v>
      </c>
      <c r="C23" s="5">
        <f>ROUND(B23*$C$11/$B$11,0)</f>
        <v/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 ht="12.75" customHeight="1" s="156">
      <c r="A24" s="3" t="inlineStr">
        <is>
          <t>de Gas</t>
        </is>
      </c>
      <c r="B24" s="5" t="n">
        <v>8</v>
      </c>
      <c r="C24" s="5">
        <f>ROUND(B24*$C$11/$B$11,0)</f>
        <v/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 ht="12.75" customHeight="1" s="156">
      <c r="A25" s="3" t="inlineStr">
        <is>
          <t>de Policía</t>
        </is>
      </c>
      <c r="B25" s="5" t="n">
        <v>7</v>
      </c>
      <c r="C25" s="5">
        <f>ROUND(B25*$C$11/$B$11,0)</f>
        <v/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 ht="12.75" customHeight="1" s="156">
      <c r="A26" s="3" t="inlineStr">
        <is>
          <t>Tabacalera</t>
        </is>
      </c>
      <c r="B26" s="5" t="n">
        <v>7</v>
      </c>
      <c r="C26" s="5">
        <f>ROUND(B26*$C$11/$B$11,0)</f>
        <v/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 ht="12.75" customHeight="1" s="156">
      <c r="A27" s="3" t="inlineStr">
        <is>
          <t>Yerbaleras</t>
        </is>
      </c>
      <c r="B27" s="5" t="n">
        <v>6</v>
      </c>
      <c r="C27" s="5">
        <f>ROUND(B27*$C$11/$B$11,0)</f>
        <v/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 ht="12.75" customHeight="1" s="156">
      <c r="A28" s="3" t="inlineStr">
        <is>
          <t>de Salud: Salud</t>
        </is>
      </c>
      <c r="B28" s="5" t="n">
        <v>6</v>
      </c>
      <c r="C28" s="5">
        <f>ROUND(B28*$C$11/$B$11,0)</f>
        <v/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 ht="12.75" customHeight="1" s="156">
      <c r="A29" s="3" t="inlineStr">
        <is>
          <t>de Carniceros</t>
        </is>
      </c>
      <c r="B29" s="5" t="n">
        <v>4</v>
      </c>
      <c r="C29" s="5">
        <f>ROUND(B29*$C$11/$B$11,0)</f>
        <v/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 ht="12.75" customHeight="1" s="156">
      <c r="A30" s="3" t="inlineStr">
        <is>
          <t>Floricultoras</t>
        </is>
      </c>
      <c r="B30" s="5" t="n">
        <v>3</v>
      </c>
      <c r="C30" s="5">
        <f>ROUND(B30*$C$11/$B$11,0)</f>
        <v/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 ht="12.75" customHeight="1" s="156">
      <c r="A31" s="3" t="inlineStr">
        <is>
          <t>Avícolas</t>
        </is>
      </c>
      <c r="B31" s="5" t="n">
        <v>3</v>
      </c>
      <c r="C31" s="5">
        <f>ROUND(B31*$C$11/$B$11,0)</f>
        <v/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 ht="12.75" customHeight="1" s="156">
      <c r="A32" s="3" t="inlineStr">
        <is>
          <t>Textiles</t>
        </is>
      </c>
      <c r="B32" s="5" t="n">
        <v>2</v>
      </c>
      <c r="C32" s="5">
        <f>ROUND(B32*$C$11/$B$11,0)</f>
        <v/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 ht="12.75" customHeight="1" s="156">
      <c r="A33" s="3" t="inlineStr">
        <is>
          <t>Apícolas</t>
        </is>
      </c>
      <c r="B33" s="5" t="n">
        <v>2</v>
      </c>
      <c r="C33" s="5">
        <f>ROUND(B33*$C$11/$B$11,0)</f>
        <v/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 ht="12.75" customHeight="1" s="156">
      <c r="A34" s="3" t="inlineStr">
        <is>
          <t>de Salud: Bioquímicas</t>
        </is>
      </c>
      <c r="B34" s="5" t="n">
        <v>2</v>
      </c>
      <c r="C34" s="5">
        <f>ROUND(B34*$C$11/$B$11,0)</f>
        <v/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 ht="12.75" customHeight="1" s="156">
      <c r="A35" s="3" t="inlineStr">
        <is>
          <t>Panificadoras</t>
        </is>
      </c>
      <c r="B35" s="5" t="n">
        <v>2</v>
      </c>
      <c r="C35" s="5">
        <f>ROUND(B35*$C$11/$B$11,0)</f>
        <v/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 ht="12.75" customHeight="1" s="156">
      <c r="A36" s="3" t="inlineStr">
        <is>
          <t>de Comercio</t>
        </is>
      </c>
      <c r="B36" s="5" t="n">
        <v>2</v>
      </c>
      <c r="C36" s="5">
        <f>ROUND(B36*$C$11/$B$11,0)</f>
        <v/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 ht="12.75" customHeight="1" s="156">
      <c r="A37" s="3" t="inlineStr">
        <is>
          <t>Azucareras</t>
        </is>
      </c>
      <c r="B37" s="5" t="n">
        <v>1</v>
      </c>
      <c r="C37" s="5">
        <f>ROUND(B37*$C$11/$B$11,0)</f>
        <v/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 ht="12.75" customHeight="1" s="156">
      <c r="A38" s="7" t="inlineStr">
        <is>
          <t>de Bomberos</t>
        </is>
      </c>
      <c r="B38" s="8" t="n">
        <v>1</v>
      </c>
      <c r="C38" s="5">
        <f>ROUND(B38*$C$11/$B$11,0)</f>
        <v/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 ht="12.75" customHeight="1" s="156">
      <c r="A39" s="6" t="inlineStr">
        <is>
          <t>Total</t>
        </is>
      </c>
      <c r="B39" s="6">
        <f>SUM(B2:B38)</f>
        <v/>
      </c>
      <c r="C39" s="6">
        <f>SUM(C2:C38)</f>
        <v/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 ht="12.75" customHeight="1" s="15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 ht="12.75" customHeight="1" s="156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 ht="12.75" customHeight="1" s="15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 ht="12.75" customHeight="1" s="15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 ht="12.75" customHeight="1" s="156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 ht="12.75" customHeight="1" s="15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 ht="12.75" customHeight="1" s="15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 ht="12.75" customHeight="1" s="15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 ht="12.75" customHeight="1" s="15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 ht="12.75" customHeight="1" s="156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 ht="12.75" customHeight="1" s="15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 ht="12.75" customHeight="1" s="15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 ht="12.75" customHeight="1" s="15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 ht="12.75" customHeight="1" s="15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 ht="12.75" customHeight="1" s="15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 ht="12.75" customHeight="1" s="15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 ht="12.75" customHeight="1" s="1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 ht="12.75" customHeight="1" s="15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 ht="12.75" customHeight="1" s="15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 ht="12.75" customHeight="1" s="15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 ht="12.75" customHeight="1" s="15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 ht="12.75" customHeight="1" s="15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 ht="12.75" customHeight="1" s="15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 ht="12.75" customHeight="1" s="15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 ht="12.75" customHeight="1" s="15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 ht="12.75" customHeight="1" s="15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 ht="12.75" customHeight="1" s="15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 ht="12.75" customHeight="1" s="15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 ht="12.75" customHeight="1" s="15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 ht="12.75" customHeight="1" s="15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 ht="12.75" customHeight="1" s="15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 ht="12.75" customHeight="1" s="15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 ht="12.75" customHeight="1" s="15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 ht="12.75" customHeight="1" s="15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 ht="12.75" customHeight="1" s="15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 ht="12.75" customHeight="1" s="15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 ht="12.75" customHeight="1" s="15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 ht="12.75" customHeight="1" s="15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 ht="12.75" customHeight="1" s="15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 ht="12.75" customHeight="1" s="15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 ht="12.75" customHeight="1" s="15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 ht="12.75" customHeight="1" s="15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 ht="12.75" customHeight="1" s="15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 ht="12.75" customHeight="1" s="15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 ht="12.75" customHeight="1" s="15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 ht="12.75" customHeight="1" s="15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 ht="12.75" customHeight="1" s="15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 ht="12.75" customHeight="1" s="15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 ht="12.75" customHeight="1" s="15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 ht="12.75" customHeight="1" s="15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 ht="12.75" customHeight="1" s="15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 ht="12.75" customHeight="1" s="15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 ht="12.75" customHeight="1" s="15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 ht="12.75" customHeight="1" s="15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 ht="12.75" customHeight="1" s="15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 ht="12.75" customHeight="1" s="15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 ht="12.75" customHeight="1" s="15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 ht="12.75" customHeight="1" s="15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 ht="12.75" customHeight="1" s="15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 ht="12.75" customHeight="1" s="15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 ht="12.75" customHeight="1" s="15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 ht="12.75" customHeight="1" s="15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 ht="12.75" customHeight="1" s="15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 ht="12.75" customHeight="1" s="15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 ht="12.75" customHeight="1" s="15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 ht="12.75" customHeight="1" s="15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 ht="12.75" customHeight="1" s="15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 ht="12.75" customHeight="1" s="15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 ht="12.75" customHeight="1" s="15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 ht="12.75" customHeight="1" s="15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 ht="12.75" customHeight="1" s="15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 ht="12.75" customHeight="1" s="15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 ht="12.75" customHeight="1" s="15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 ht="12.75" customHeight="1" s="15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 ht="12.75" customHeight="1" s="15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 ht="12.75" customHeight="1" s="15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 ht="12.75" customHeight="1" s="15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 ht="12.75" customHeight="1" s="15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 ht="12.75" customHeight="1" s="15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 ht="12.75" customHeight="1" s="15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 ht="12.75" customHeight="1" s="15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</row>
    <row r="121" ht="12.75" customHeight="1" s="15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</row>
    <row r="122" ht="12.75" customHeight="1" s="15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</row>
    <row r="123" ht="12.75" customHeight="1" s="15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</row>
    <row r="124" ht="12.75" customHeight="1" s="15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</row>
    <row r="125" ht="12.75" customHeight="1" s="15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</row>
    <row r="126" ht="12.75" customHeight="1" s="15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</row>
    <row r="127" ht="12.75" customHeight="1" s="15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</row>
    <row r="128" ht="12.75" customHeight="1" s="15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</row>
    <row r="129" ht="12.75" customHeight="1" s="15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</row>
    <row r="130" ht="12.75" customHeight="1" s="15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</row>
    <row r="131" ht="12.75" customHeight="1" s="15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</row>
    <row r="132" ht="12.75" customHeight="1" s="15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</row>
    <row r="133" ht="12.75" customHeight="1" s="15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</row>
    <row r="134" ht="12.75" customHeight="1" s="15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</row>
    <row r="135" ht="12.75" customHeight="1" s="15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</row>
    <row r="136" ht="12.75" customHeight="1" s="15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</row>
    <row r="137" ht="12.75" customHeight="1" s="15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</row>
    <row r="138" ht="12.75" customHeight="1" s="15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</row>
    <row r="139" ht="12.75" customHeight="1" s="15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</row>
    <row r="140" ht="12.75" customHeight="1" s="15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</row>
    <row r="141" ht="12.75" customHeight="1" s="15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</row>
    <row r="142" ht="12.75" customHeight="1" s="15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</row>
    <row r="143" ht="12.75" customHeight="1" s="15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</row>
    <row r="144" ht="12.75" customHeight="1" s="15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</row>
    <row r="145" ht="12.75" customHeight="1" s="15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</row>
    <row r="146" ht="12.75" customHeight="1" s="15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</row>
    <row r="147" ht="12.75" customHeight="1" s="15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</row>
    <row r="148" ht="12.75" customHeight="1" s="15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</row>
    <row r="149" ht="12.75" customHeight="1" s="15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</row>
    <row r="150" ht="12.75" customHeight="1" s="15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</row>
    <row r="151" ht="12.75" customHeight="1" s="15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</row>
    <row r="152" ht="12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</row>
    <row r="153" ht="12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</row>
    <row r="154" ht="12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</row>
    <row r="155" ht="12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</row>
    <row r="156" ht="12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</row>
    <row r="157" ht="12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</row>
    <row r="158" ht="12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</row>
    <row r="159" ht="12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</row>
    <row r="160" ht="12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</row>
    <row r="161" ht="12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</row>
    <row r="162" ht="12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</row>
    <row r="163" ht="12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</row>
    <row r="164" ht="12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</row>
    <row r="165" ht="12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</row>
    <row r="166" ht="12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</row>
    <row r="167" ht="12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</row>
    <row r="168" ht="12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</row>
    <row r="169" ht="12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</row>
    <row r="170" ht="12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</row>
    <row r="171" ht="12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</row>
    <row r="172" ht="12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</row>
    <row r="173" ht="12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</row>
    <row r="174" ht="12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</row>
    <row r="175" ht="12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</row>
    <row r="176" ht="12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</row>
    <row r="177" ht="12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</row>
    <row r="178" ht="12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</row>
    <row r="179" ht="12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</row>
    <row r="180" ht="12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</row>
    <row r="181" ht="12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</row>
    <row r="182" ht="12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</row>
    <row r="183" ht="12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</row>
    <row r="184" ht="12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</row>
    <row r="185" ht="12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</row>
    <row r="186" ht="12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</row>
    <row r="187" ht="12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</row>
    <row r="188" ht="12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</row>
    <row r="189" ht="12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</row>
    <row r="190" ht="12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</row>
    <row r="191" ht="12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</row>
    <row r="192" ht="12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</row>
    <row r="193" ht="12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</row>
    <row r="194" ht="12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</row>
    <row r="195" ht="12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</row>
    <row r="196" ht="12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</row>
    <row r="197" ht="12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</row>
    <row r="198" ht="12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</row>
    <row r="199" ht="12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</row>
    <row r="200" ht="12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</row>
    <row r="201" ht="12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</row>
    <row r="202" ht="12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</row>
    <row r="203" ht="12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</row>
    <row r="204" ht="12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</row>
    <row r="205" ht="12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</row>
    <row r="206" ht="12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</row>
    <row r="207" ht="12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</row>
    <row r="208" ht="12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</row>
    <row r="209" ht="12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</row>
    <row r="210" ht="12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</row>
    <row r="211" ht="12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</row>
    <row r="212" ht="12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</row>
    <row r="213" ht="12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</row>
    <row r="214" ht="12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</row>
    <row r="215" ht="12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</row>
    <row r="216" ht="12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</row>
    <row r="217" ht="12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</row>
    <row r="218" ht="12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</row>
    <row r="219" ht="12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</row>
    <row r="220" ht="12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</row>
    <row r="221" ht="12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</row>
    <row r="222" ht="12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</row>
    <row r="223" ht="12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</row>
    <row r="224" ht="12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</row>
    <row r="225" ht="12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</row>
    <row r="226" ht="12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</row>
    <row r="227" ht="12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</row>
    <row r="228" ht="12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</row>
    <row r="229" ht="12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</row>
    <row r="230" ht="12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</row>
    <row r="231" ht="12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</row>
    <row r="232" ht="12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</row>
    <row r="233" ht="12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</row>
    <row r="234" ht="12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</row>
    <row r="235" ht="12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</row>
    <row r="236" ht="12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</row>
    <row r="237" ht="12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</row>
    <row r="238" ht="12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</row>
    <row r="239" ht="12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</row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84"/>
  <sheetViews>
    <sheetView workbookViewId="0">
      <selection activeCell="A1" sqref="A1"/>
    </sheetView>
  </sheetViews>
  <sheetFormatPr baseColWidth="10" defaultColWidth="14.5" defaultRowHeight="15" customHeight="1" outlineLevelRow="2"/>
  <cols>
    <col width="12.6640625" customWidth="1" style="156" min="1" max="1"/>
    <col width="16.83203125" customWidth="1" style="156" min="2" max="2"/>
    <col width="14.33203125" customWidth="1" style="156" min="3" max="3"/>
    <col width="22.5" customWidth="1" style="156" min="4" max="4"/>
    <col width="11.5" customWidth="1" style="156" min="5" max="24"/>
  </cols>
  <sheetData>
    <row r="1" ht="12.75" customHeight="1" s="156">
      <c r="A1" s="1" t="inlineStr">
        <is>
          <t>Provincia</t>
        </is>
      </c>
      <c r="B1" s="1" t="inlineStr">
        <is>
          <t>Rubro</t>
        </is>
      </c>
      <c r="C1" s="4" t="inlineStr">
        <is>
          <t>Total</t>
        </is>
      </c>
      <c r="D1" s="1" t="inlineStr">
        <is>
          <t>Ajuste x Coop. Telefónicas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idden="1" outlineLevel="2" ht="12.75" customHeight="1" s="156">
      <c r="A2" s="3" t="inlineStr">
        <is>
          <t>Buenos Aires</t>
        </is>
      </c>
      <c r="B2" s="3" t="inlineStr">
        <is>
          <t>Agropecuarias</t>
        </is>
      </c>
      <c r="C2" s="5" t="n">
        <v>146</v>
      </c>
      <c r="D2" s="5">
        <f>ROUND(C2*$D$177/$C$177,0)</f>
        <v/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idden="1" outlineLevel="2" ht="12.75" customHeight="1" s="156">
      <c r="A3" s="3" t="inlineStr">
        <is>
          <t>Buenos Aires</t>
        </is>
      </c>
      <c r="B3" s="3" t="inlineStr">
        <is>
          <t>Bancarias</t>
        </is>
      </c>
      <c r="C3" s="5" t="n">
        <v>22</v>
      </c>
      <c r="D3" s="5">
        <f>ROUND(C3*$D$177/$C$177,0)</f>
        <v/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idden="1" outlineLevel="2" ht="12.75" customHeight="1" s="156">
      <c r="A4" s="3" t="inlineStr">
        <is>
          <t>Buenos Aires</t>
        </is>
      </c>
      <c r="B4" s="9" t="inlineStr">
        <is>
          <t>Consumo</t>
        </is>
      </c>
      <c r="C4" s="5" t="n">
        <v>101</v>
      </c>
      <c r="D4" s="5">
        <f>ROUND(C4*$D$177/$C$177,0)</f>
        <v/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idden="1" outlineLevel="2" ht="12.75" customHeight="1" s="156">
      <c r="A5" s="3" t="inlineStr">
        <is>
          <t>Buenos Aires</t>
        </is>
      </c>
      <c r="B5" s="3" t="inlineStr">
        <is>
          <t>Enseñanza</t>
        </is>
      </c>
      <c r="C5" s="5" t="n">
        <v>1</v>
      </c>
      <c r="D5" s="5">
        <f>ROUND(C5*$D$177/$C$177,0)</f>
        <v/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idden="1" outlineLevel="2" ht="12.75" customHeight="1" s="156">
      <c r="A6" s="3" t="inlineStr">
        <is>
          <t>Buenos Aires</t>
        </is>
      </c>
      <c r="B6" s="3" t="inlineStr">
        <is>
          <t>Escolares</t>
        </is>
      </c>
      <c r="C6" s="5" t="n">
        <v>5</v>
      </c>
      <c r="D6" s="5">
        <f>ROUND(C6*$D$177/$C$177,0)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idden="1" outlineLevel="2" ht="12.75" customHeight="1" s="156">
      <c r="A7" s="3" t="inlineStr">
        <is>
          <t>Buenos Aires</t>
        </is>
      </c>
      <c r="B7" s="3" t="inlineStr">
        <is>
          <t>Provisión</t>
        </is>
      </c>
      <c r="C7" s="5" t="n">
        <v>52</v>
      </c>
      <c r="D7" s="5">
        <f>ROUND(C7*$D$177/$C$177,0)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 hidden="1" outlineLevel="2" ht="12.75" customHeight="1" s="156">
      <c r="A8" s="3" t="inlineStr">
        <is>
          <t>Buenos Aires</t>
        </is>
      </c>
      <c r="B8" s="3" t="inlineStr">
        <is>
          <t>Seguros</t>
        </is>
      </c>
      <c r="C8" s="5" t="n">
        <v>9</v>
      </c>
      <c r="D8" s="5">
        <f>ROUND(C8*$D$177/$C$177,0)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idden="1" outlineLevel="2" ht="12.75" customHeight="1" s="156">
      <c r="A9" s="3" t="inlineStr">
        <is>
          <t>Buenos Aires</t>
        </is>
      </c>
      <c r="B9" s="3" t="inlineStr">
        <is>
          <t>Servicios Públicos</t>
        </is>
      </c>
      <c r="C9" s="5" t="n">
        <v>278</v>
      </c>
      <c r="D9" s="5">
        <f>ROUND(C9*$D$177/$C$177,0)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 hidden="1" outlineLevel="2" ht="12.75" customHeight="1" s="156">
      <c r="A10" s="3" t="inlineStr">
        <is>
          <t>Buenos Aires</t>
        </is>
      </c>
      <c r="B10" s="3" t="inlineStr">
        <is>
          <t>Trabajo</t>
        </is>
      </c>
      <c r="C10" s="5" t="n">
        <v>105</v>
      </c>
      <c r="D10" s="5">
        <f>ROUND(C10*$D$177/$C$177,0)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idden="1" outlineLevel="2" ht="12.75" customHeight="1" s="156">
      <c r="A11" s="3" t="inlineStr">
        <is>
          <t>Buenos Aires</t>
        </is>
      </c>
      <c r="B11" s="3" t="inlineStr">
        <is>
          <t>Vivienda</t>
        </is>
      </c>
      <c r="C11" s="5" t="n">
        <v>47</v>
      </c>
      <c r="D11" s="5">
        <f>ROUND(C11*$D$177/$C$177,0)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 hidden="1" outlineLevel="1" ht="12.75" customHeight="1" s="156">
      <c r="A12" s="10" t="inlineStr">
        <is>
          <t>Total Buenos Aires</t>
        </is>
      </c>
      <c r="B12" s="3" t="n"/>
      <c r="C12" s="5" t="n"/>
      <c r="D12" s="5">
        <f>SUBTOTAL(9,D2:D11)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idden="1" outlineLevel="2" ht="12.75" customHeight="1" s="156">
      <c r="A13" s="3" t="inlineStr">
        <is>
          <t>Capital</t>
        </is>
      </c>
      <c r="B13" s="3" t="inlineStr">
        <is>
          <t>Agropecuarias</t>
        </is>
      </c>
      <c r="C13" s="5" t="n">
        <v>2</v>
      </c>
      <c r="D13" s="5">
        <f>ROUND(C13*$D$177/$C$177,0)</f>
        <v/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 hidden="1" outlineLevel="2" ht="12.75" customHeight="1" s="156">
      <c r="A14" s="3" t="inlineStr">
        <is>
          <t>Capital</t>
        </is>
      </c>
      <c r="B14" s="3" t="inlineStr">
        <is>
          <t>Bancarias</t>
        </is>
      </c>
      <c r="C14" s="5" t="n">
        <v>23</v>
      </c>
      <c r="D14" s="5">
        <f>ROUND(C14*$D$177/$C$177,0)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idden="1" outlineLevel="2" ht="12.75" customHeight="1" s="156">
      <c r="A15" s="3" t="inlineStr">
        <is>
          <t>Capital</t>
        </is>
      </c>
      <c r="B15" s="3" t="inlineStr">
        <is>
          <t>Consumo</t>
        </is>
      </c>
      <c r="C15" s="5" t="n">
        <v>44</v>
      </c>
      <c r="D15" s="5">
        <f>ROUND(C15*$D$177/$C$177,0)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 hidden="1" outlineLevel="2" ht="12.75" customHeight="1" s="156">
      <c r="A16" s="3" t="inlineStr">
        <is>
          <t>Capital</t>
        </is>
      </c>
      <c r="B16" s="3" t="inlineStr">
        <is>
          <t>Provisión</t>
        </is>
      </c>
      <c r="C16" s="5" t="n">
        <v>3</v>
      </c>
      <c r="D16" s="5">
        <f>ROUND(C16*$D$177/$C$177,0)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idden="1" outlineLevel="2" ht="12.75" customHeight="1" s="156">
      <c r="A17" s="3" t="inlineStr">
        <is>
          <t>Capital</t>
        </is>
      </c>
      <c r="B17" s="3" t="inlineStr">
        <is>
          <t>Seguros</t>
        </is>
      </c>
      <c r="C17" s="5" t="n">
        <v>3</v>
      </c>
      <c r="D17" s="5">
        <f>ROUND(C17*$D$177/$C$177,0)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 hidden="1" outlineLevel="2" ht="12.75" customHeight="1" s="156">
      <c r="A18" s="3" t="inlineStr">
        <is>
          <t>Capital</t>
        </is>
      </c>
      <c r="B18" s="3" t="inlineStr">
        <is>
          <t>Servicios Públicos</t>
        </is>
      </c>
      <c r="C18" s="5" t="n">
        <v>4</v>
      </c>
      <c r="D18" s="5">
        <f>ROUND(C18*$D$177/$C$177,0)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idden="1" outlineLevel="2" ht="12.75" customHeight="1" s="156">
      <c r="A19" s="3" t="inlineStr">
        <is>
          <t>Capital</t>
        </is>
      </c>
      <c r="B19" s="3" t="inlineStr">
        <is>
          <t>Trabajo</t>
        </is>
      </c>
      <c r="C19" s="5" t="n">
        <v>22</v>
      </c>
      <c r="D19" s="5">
        <f>ROUND(C19*$D$177/$C$177,0)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 hidden="1" outlineLevel="2" ht="12.75" customHeight="1" s="156">
      <c r="A20" s="3" t="inlineStr">
        <is>
          <t>Capital</t>
        </is>
      </c>
      <c r="B20" s="3" t="inlineStr">
        <is>
          <t>Vivienda</t>
        </is>
      </c>
      <c r="C20" s="5" t="n">
        <v>46</v>
      </c>
      <c r="D20" s="5">
        <f>ROUND(C20*$D$177/$C$177,0)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idden="1" outlineLevel="1" ht="12.75" customHeight="1" s="156">
      <c r="A21" s="10" t="inlineStr">
        <is>
          <t>Total Capital</t>
        </is>
      </c>
      <c r="B21" s="3" t="n"/>
      <c r="C21" s="5" t="n"/>
      <c r="D21" s="5">
        <f>SUBTOTAL(9,D13:D20)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 hidden="1" outlineLevel="2" ht="12.75" customHeight="1" s="156">
      <c r="A22" s="3" t="inlineStr">
        <is>
          <t>Catamarca</t>
        </is>
      </c>
      <c r="B22" s="3" t="inlineStr">
        <is>
          <t>Agropecuarias</t>
        </is>
      </c>
      <c r="C22" s="5" t="n">
        <v>2</v>
      </c>
      <c r="D22" s="5">
        <f>ROUND(C22*$D$177/$C$177,0)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idden="1" outlineLevel="2" ht="12.75" customHeight="1" s="156">
      <c r="A23" s="3" t="inlineStr">
        <is>
          <t>Catamarca</t>
        </is>
      </c>
      <c r="B23" s="3" t="inlineStr">
        <is>
          <t>Consumo</t>
        </is>
      </c>
      <c r="C23" s="5" t="n">
        <v>1</v>
      </c>
      <c r="D23" s="5">
        <f>ROUND(C23*$D$177/$C$177,0)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 hidden="1" outlineLevel="2" ht="12.75" customHeight="1" s="156">
      <c r="A24" s="3" t="inlineStr">
        <is>
          <t>Catamarca</t>
        </is>
      </c>
      <c r="B24" s="3" t="inlineStr">
        <is>
          <t>Servicios Públicos</t>
        </is>
      </c>
      <c r="C24" s="5" t="n">
        <v>1</v>
      </c>
      <c r="D24" s="5">
        <f>ROUND(C24*$D$177/$C$177,0)</f>
        <v/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idden="1" outlineLevel="1" ht="12.75" customHeight="1" s="156">
      <c r="A25" s="10" t="inlineStr">
        <is>
          <t>Total Catamarca</t>
        </is>
      </c>
      <c r="B25" s="3" t="n"/>
      <c r="C25" s="5" t="n"/>
      <c r="D25" s="5">
        <f>SUBTOTAL(9,D22:D24)</f>
        <v/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 hidden="1" outlineLevel="2" ht="12.75" customHeight="1" s="156">
      <c r="A26" s="3" t="inlineStr">
        <is>
          <t>Córdoba</t>
        </is>
      </c>
      <c r="B26" s="3" t="inlineStr">
        <is>
          <t>Agropecuarias</t>
        </is>
      </c>
      <c r="C26" s="5" t="n">
        <v>136</v>
      </c>
      <c r="D26" s="5">
        <f>ROUND(C26*$D$177/$C$177,0)</f>
        <v/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idden="1" outlineLevel="2" ht="12.75" customHeight="1" s="156">
      <c r="A27" s="3" t="inlineStr">
        <is>
          <t>Córdoba</t>
        </is>
      </c>
      <c r="B27" s="3" t="inlineStr">
        <is>
          <t>Bancarias</t>
        </is>
      </c>
      <c r="C27" s="5" t="n">
        <v>6</v>
      </c>
      <c r="D27" s="5">
        <f>ROUND(C27*$D$177/$C$177,0)</f>
        <v/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 hidden="1" outlineLevel="2" ht="12.75" customHeight="1" s="156">
      <c r="A28" s="3" t="inlineStr">
        <is>
          <t>Córdoba</t>
        </is>
      </c>
      <c r="B28" s="3" t="inlineStr">
        <is>
          <t>Consumo</t>
        </is>
      </c>
      <c r="C28" s="5" t="n">
        <v>50</v>
      </c>
      <c r="D28" s="5">
        <f>ROUND(C28*$D$177/$C$177,0)</f>
        <v/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idden="1" outlineLevel="2" ht="12.75" customHeight="1" s="156">
      <c r="A29" s="3" t="inlineStr">
        <is>
          <t>Córdoba</t>
        </is>
      </c>
      <c r="B29" s="3" t="inlineStr">
        <is>
          <t>Enseñanza</t>
        </is>
      </c>
      <c r="C29" s="5" t="n">
        <v>7</v>
      </c>
      <c r="D29" s="5">
        <f>ROUND(C29*$D$177/$C$177,0)</f>
        <v/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 hidden="1" outlineLevel="2" ht="12.75" customHeight="1" s="156">
      <c r="A30" s="3" t="inlineStr">
        <is>
          <t>Córdoba</t>
        </is>
      </c>
      <c r="B30" s="3" t="inlineStr">
        <is>
          <t>Escolares</t>
        </is>
      </c>
      <c r="C30" s="5" t="n">
        <v>3</v>
      </c>
      <c r="D30" s="5">
        <f>ROUND(C30*$D$177/$C$177,0)</f>
        <v/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idden="1" outlineLevel="2" ht="12.75" customHeight="1" s="156">
      <c r="A31" s="3" t="inlineStr">
        <is>
          <t>Córdoba</t>
        </is>
      </c>
      <c r="B31" s="3" t="inlineStr">
        <is>
          <t>Provisión</t>
        </is>
      </c>
      <c r="C31" s="5" t="n">
        <v>19</v>
      </c>
      <c r="D31" s="5">
        <f>ROUND(C31*$D$177/$C$177,0)</f>
        <v/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 hidden="1" outlineLevel="2" ht="12.75" customHeight="1" s="156">
      <c r="A32" s="3" t="inlineStr">
        <is>
          <t>Córdoba</t>
        </is>
      </c>
      <c r="B32" s="3" t="inlineStr">
        <is>
          <t>Seguros</t>
        </is>
      </c>
      <c r="C32" s="5" t="n">
        <v>2</v>
      </c>
      <c r="D32" s="5">
        <f>ROUND(C32*$D$177/$C$177,0)</f>
        <v/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 hidden="1" outlineLevel="2" ht="12.75" customHeight="1" s="156">
      <c r="A33" s="3" t="inlineStr">
        <is>
          <t>Córdoba</t>
        </is>
      </c>
      <c r="B33" s="3" t="inlineStr">
        <is>
          <t>Servicios Públicos</t>
        </is>
      </c>
      <c r="C33" s="5" t="n">
        <v>260</v>
      </c>
      <c r="D33" s="5">
        <f>ROUND(C33*$D$177/$C$177,0)</f>
        <v/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 hidden="1" outlineLevel="2" ht="12.75" customHeight="1" s="156">
      <c r="A34" s="3" t="inlineStr">
        <is>
          <t>Córdoba</t>
        </is>
      </c>
      <c r="B34" s="3" t="inlineStr">
        <is>
          <t>Trabajo</t>
        </is>
      </c>
      <c r="C34" s="5" t="n">
        <v>54</v>
      </c>
      <c r="D34" s="5">
        <f>ROUND(C34*$D$177/$C$177,0)</f>
        <v/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 hidden="1" outlineLevel="2" ht="12.75" customHeight="1" s="156">
      <c r="A35" s="3" t="inlineStr">
        <is>
          <t>Córdoba</t>
        </is>
      </c>
      <c r="B35" s="3" t="inlineStr">
        <is>
          <t>Vivienda</t>
        </is>
      </c>
      <c r="C35" s="5" t="n">
        <v>35</v>
      </c>
      <c r="D35" s="5">
        <f>ROUND(C35*$D$177/$C$177,0)</f>
        <v/>
      </c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 hidden="1" outlineLevel="1" ht="12.75" customHeight="1" s="156">
      <c r="A36" s="10" t="inlineStr">
        <is>
          <t>Total Córdoba</t>
        </is>
      </c>
      <c r="B36" s="3" t="n"/>
      <c r="C36" s="5" t="n"/>
      <c r="D36" s="5">
        <f>SUBTOTAL(9,D26:D35)</f>
        <v/>
      </c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 hidden="1" outlineLevel="2" ht="12.75" customHeight="1" s="156">
      <c r="A37" s="3" t="inlineStr">
        <is>
          <t>Corrientes</t>
        </is>
      </c>
      <c r="B37" s="3" t="inlineStr">
        <is>
          <t>Agropecuarias</t>
        </is>
      </c>
      <c r="C37" s="5" t="n">
        <v>11</v>
      </c>
      <c r="D37" s="5">
        <f>ROUND(C37*$D$177/$C$177,0)</f>
        <v/>
      </c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 hidden="1" outlineLevel="2" ht="12.75" customHeight="1" s="156">
      <c r="A38" s="3" t="inlineStr">
        <is>
          <t>Corrientes</t>
        </is>
      </c>
      <c r="B38" s="3" t="inlineStr">
        <is>
          <t>Consumo</t>
        </is>
      </c>
      <c r="C38" s="5" t="n">
        <v>6</v>
      </c>
      <c r="D38" s="5">
        <f>ROUND(C38*$D$177/$C$177,0)</f>
        <v/>
      </c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 hidden="1" outlineLevel="2" ht="12.75" customHeight="1" s="156">
      <c r="A39" s="3" t="inlineStr">
        <is>
          <t>Corrientes</t>
        </is>
      </c>
      <c r="B39" s="3" t="inlineStr">
        <is>
          <t>Servicios Públicos</t>
        </is>
      </c>
      <c r="C39" s="5" t="n">
        <v>3</v>
      </c>
      <c r="D39" s="5">
        <f>ROUND(C39*$D$177/$C$177,0)</f>
        <v/>
      </c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 hidden="1" outlineLevel="2" ht="12.75" customHeight="1" s="156">
      <c r="A40" s="3" t="inlineStr">
        <is>
          <t>Corrientes</t>
        </is>
      </c>
      <c r="B40" s="3" t="inlineStr">
        <is>
          <t>Trabajo</t>
        </is>
      </c>
      <c r="C40" s="5" t="n">
        <v>3</v>
      </c>
      <c r="D40" s="5">
        <f>ROUND(C40*$D$177/$C$177,0)</f>
        <v/>
      </c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 hidden="1" outlineLevel="1" ht="12.75" customHeight="1" s="156">
      <c r="A41" s="10" t="inlineStr">
        <is>
          <t>Total Corrientes</t>
        </is>
      </c>
      <c r="B41" s="3" t="n"/>
      <c r="C41" s="5" t="n"/>
      <c r="D41" s="5">
        <f>SUBTOTAL(9,D37:D40)</f>
        <v/>
      </c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 hidden="1" outlineLevel="2" ht="12.75" customHeight="1" s="156">
      <c r="A42" s="3" t="inlineStr">
        <is>
          <t>Chaco</t>
        </is>
      </c>
      <c r="B42" s="3" t="inlineStr">
        <is>
          <t>Agropecuarias</t>
        </is>
      </c>
      <c r="C42" s="5" t="n">
        <v>30</v>
      </c>
      <c r="D42" s="5">
        <f>ROUND(C42*$D$177/$C$177,0)</f>
        <v/>
      </c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 hidden="1" outlineLevel="2" ht="12.75" customHeight="1" s="156">
      <c r="A43" s="3" t="inlineStr">
        <is>
          <t>Chaco</t>
        </is>
      </c>
      <c r="B43" s="3" t="inlineStr">
        <is>
          <t>Consumo</t>
        </is>
      </c>
      <c r="C43" s="5" t="n">
        <v>5</v>
      </c>
      <c r="D43" s="5">
        <f>ROUND(C43*$D$177/$C$177,0)</f>
        <v/>
      </c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 hidden="1" outlineLevel="2" ht="12.75" customHeight="1" s="156">
      <c r="A44" s="3" t="inlineStr">
        <is>
          <t>Chaco</t>
        </is>
      </c>
      <c r="B44" s="3" t="inlineStr">
        <is>
          <t>Provisión</t>
        </is>
      </c>
      <c r="C44" s="5" t="n">
        <v>2</v>
      </c>
      <c r="D44" s="5">
        <f>ROUND(C44*$D$177/$C$177,0)</f>
        <v/>
      </c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 hidden="1" outlineLevel="2" ht="12.75" customHeight="1" s="156">
      <c r="A45" s="3" t="inlineStr">
        <is>
          <t>Chaco</t>
        </is>
      </c>
      <c r="B45" s="3" t="inlineStr">
        <is>
          <t>Servicios Públicos</t>
        </is>
      </c>
      <c r="C45" s="5" t="n">
        <v>8</v>
      </c>
      <c r="D45" s="5">
        <f>ROUND(C45*$D$177/$C$177,0)</f>
        <v/>
      </c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 hidden="1" outlineLevel="2" ht="12.75" customHeight="1" s="156">
      <c r="A46" s="3" t="inlineStr">
        <is>
          <t>Chaco</t>
        </is>
      </c>
      <c r="B46" s="3" t="inlineStr">
        <is>
          <t>Trabajo</t>
        </is>
      </c>
      <c r="C46" s="5" t="n">
        <v>4</v>
      </c>
      <c r="D46" s="5">
        <f>ROUND(C46*$D$177/$C$177,0)</f>
        <v/>
      </c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 hidden="1" outlineLevel="2" ht="12.75" customHeight="1" s="156">
      <c r="A47" s="3" t="inlineStr">
        <is>
          <t>Chaco</t>
        </is>
      </c>
      <c r="B47" s="3" t="inlineStr">
        <is>
          <t>Vivienda</t>
        </is>
      </c>
      <c r="C47" s="5" t="n">
        <v>2</v>
      </c>
      <c r="D47" s="5">
        <f>ROUND(C47*$D$177/$C$177,0)</f>
        <v/>
      </c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 hidden="1" outlineLevel="1" ht="12.75" customHeight="1" s="156">
      <c r="A48" s="10" t="inlineStr">
        <is>
          <t>Total Chaco</t>
        </is>
      </c>
      <c r="B48" s="3" t="n"/>
      <c r="C48" s="5" t="n"/>
      <c r="D48" s="5">
        <f>SUBTOTAL(9,D42:D47)</f>
        <v/>
      </c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 hidden="1" outlineLevel="2" ht="12.75" customHeight="1" s="156">
      <c r="A49" s="3" t="inlineStr">
        <is>
          <t>Chubut</t>
        </is>
      </c>
      <c r="B49" s="3" t="inlineStr">
        <is>
          <t>Consumo</t>
        </is>
      </c>
      <c r="C49" s="5" t="n">
        <v>11</v>
      </c>
      <c r="D49" s="5">
        <f>ROUND(C49*$D$177/$C$177,0)</f>
        <v/>
      </c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 hidden="1" outlineLevel="2" ht="12.75" customHeight="1" s="156">
      <c r="A50" s="3" t="inlineStr">
        <is>
          <t>Chubut</t>
        </is>
      </c>
      <c r="B50" s="3" t="inlineStr">
        <is>
          <t>Provisión</t>
        </is>
      </c>
      <c r="C50" s="5" t="n">
        <v>8</v>
      </c>
      <c r="D50" s="5">
        <f>ROUND(C50*$D$177/$C$177,0)</f>
        <v/>
      </c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 hidden="1" outlineLevel="2" ht="12.75" customHeight="1" s="156">
      <c r="A51" s="3" t="inlineStr">
        <is>
          <t>Chubut</t>
        </is>
      </c>
      <c r="B51" s="3" t="inlineStr">
        <is>
          <t>Servicios Públicos</t>
        </is>
      </c>
      <c r="C51" s="5" t="n">
        <v>24</v>
      </c>
      <c r="D51" s="5">
        <f>ROUND(C51*$D$177/$C$177,0)</f>
        <v/>
      </c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 hidden="1" outlineLevel="2" ht="12.75" customHeight="1" s="156">
      <c r="A52" s="3" t="inlineStr">
        <is>
          <t>Chubut</t>
        </is>
      </c>
      <c r="B52" s="3" t="inlineStr">
        <is>
          <t>Trabajo</t>
        </is>
      </c>
      <c r="C52" s="5" t="n">
        <v>11</v>
      </c>
      <c r="D52" s="5">
        <f>ROUND(C52*$D$177/$C$177,0)</f>
        <v/>
      </c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 hidden="1" outlineLevel="2" ht="12.75" customHeight="1" s="156">
      <c r="A53" s="3" t="inlineStr">
        <is>
          <t>Chubut</t>
        </is>
      </c>
      <c r="B53" s="3" t="inlineStr">
        <is>
          <t>Vivienda</t>
        </is>
      </c>
      <c r="C53" s="5" t="n">
        <v>5</v>
      </c>
      <c r="D53" s="5">
        <f>ROUND(C53*$D$177/$C$177,0)</f>
        <v/>
      </c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 hidden="1" outlineLevel="1" ht="12.75" customHeight="1" s="156">
      <c r="A54" s="10" t="inlineStr">
        <is>
          <t>Total Chubut</t>
        </is>
      </c>
      <c r="B54" s="3" t="n"/>
      <c r="C54" s="5" t="n"/>
      <c r="D54" s="5">
        <f>SUBTOTAL(9,D49:D53)</f>
        <v/>
      </c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 hidden="1" outlineLevel="2" ht="12.75" customHeight="1" s="156">
      <c r="A55" s="3" t="inlineStr">
        <is>
          <t>Entre Ríos</t>
        </is>
      </c>
      <c r="B55" s="3" t="inlineStr">
        <is>
          <t>Agropecuarias</t>
        </is>
      </c>
      <c r="C55" s="5" t="n">
        <v>40</v>
      </c>
      <c r="D55" s="5">
        <f>ROUND(C55*$D$177/$C$177,0)</f>
        <v/>
      </c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 hidden="1" outlineLevel="2" ht="12.75" customHeight="1" s="156">
      <c r="A56" s="3" t="inlineStr">
        <is>
          <t>Entre Ríos</t>
        </is>
      </c>
      <c r="B56" s="3" t="inlineStr">
        <is>
          <t>Consumo</t>
        </is>
      </c>
      <c r="C56" s="5" t="n">
        <v>17</v>
      </c>
      <c r="D56" s="5">
        <f>ROUND(C56*$D$177/$C$177,0)</f>
        <v/>
      </c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 hidden="1" outlineLevel="2" ht="12.75" customHeight="1" s="156">
      <c r="A57" s="3" t="inlineStr">
        <is>
          <t>Entre Ríos</t>
        </is>
      </c>
      <c r="B57" s="3" t="inlineStr">
        <is>
          <t>Provisión</t>
        </is>
      </c>
      <c r="C57" s="5" t="n">
        <v>1</v>
      </c>
      <c r="D57" s="5">
        <f>ROUND(C57*$D$177/$C$177,0)</f>
        <v/>
      </c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 hidden="1" outlineLevel="2" ht="12.75" customHeight="1" s="156">
      <c r="A58" s="3" t="inlineStr">
        <is>
          <t>Entre Ríos</t>
        </is>
      </c>
      <c r="B58" s="3" t="inlineStr">
        <is>
          <t>Servicios Públicos</t>
        </is>
      </c>
      <c r="C58" s="5" t="n">
        <v>27</v>
      </c>
      <c r="D58" s="5">
        <f>ROUND(C58*$D$177/$C$177,0)</f>
        <v/>
      </c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 hidden="1" outlineLevel="2" ht="12.75" customHeight="1" s="156">
      <c r="A59" s="3" t="inlineStr">
        <is>
          <t>Entre Ríos</t>
        </is>
      </c>
      <c r="B59" s="3" t="inlineStr">
        <is>
          <t>Trabajo</t>
        </is>
      </c>
      <c r="C59" s="5" t="n">
        <v>19</v>
      </c>
      <c r="D59" s="5">
        <f>ROUND(C59*$D$177/$C$177,0)</f>
        <v/>
      </c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 hidden="1" outlineLevel="2" ht="12.75" customHeight="1" s="156">
      <c r="A60" s="3" t="inlineStr">
        <is>
          <t>Entre Ríos</t>
        </is>
      </c>
      <c r="B60" s="3" t="inlineStr">
        <is>
          <t>Vivienda</t>
        </is>
      </c>
      <c r="C60" s="5" t="n">
        <v>3</v>
      </c>
      <c r="D60" s="5">
        <f>ROUND(C60*$D$177/$C$177,0)</f>
        <v/>
      </c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 hidden="1" outlineLevel="1" ht="12.75" customHeight="1" s="156">
      <c r="A61" s="10" t="inlineStr">
        <is>
          <t>Total Entre Ríos</t>
        </is>
      </c>
      <c r="B61" s="3" t="n"/>
      <c r="C61" s="5" t="n"/>
      <c r="D61" s="5">
        <f>SUBTOTAL(9,D55:D60)</f>
        <v/>
      </c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 hidden="1" outlineLevel="2" ht="12.75" customHeight="1" s="156">
      <c r="A62" s="3" t="inlineStr">
        <is>
          <t>Formosa</t>
        </is>
      </c>
      <c r="B62" s="3" t="inlineStr">
        <is>
          <t>Servicios Públicos</t>
        </is>
      </c>
      <c r="C62" s="5" t="n">
        <v>7</v>
      </c>
      <c r="D62" s="5">
        <f>ROUND(C62*$D$177/$C$177,0)</f>
        <v/>
      </c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 hidden="1" outlineLevel="2" ht="12.75" customHeight="1" s="156">
      <c r="A63" s="3" t="inlineStr">
        <is>
          <t>Formosa</t>
        </is>
      </c>
      <c r="B63" s="3" t="inlineStr">
        <is>
          <t>Trabajo</t>
        </is>
      </c>
      <c r="C63" s="5" t="n">
        <v>7</v>
      </c>
      <c r="D63" s="5">
        <f>ROUND(C63*$D$177/$C$177,0)</f>
        <v/>
      </c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 hidden="1" outlineLevel="1" ht="12.75" customHeight="1" s="156">
      <c r="A64" s="10" t="inlineStr">
        <is>
          <t>Total Formosa</t>
        </is>
      </c>
      <c r="B64" s="3" t="n"/>
      <c r="C64" s="5" t="n"/>
      <c r="D64" s="5">
        <f>SUBTOTAL(9,D62:D63)</f>
        <v/>
      </c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 hidden="1" outlineLevel="2" ht="12.75" customHeight="1" s="156">
      <c r="A65" s="3" t="inlineStr">
        <is>
          <t>Jujuy</t>
        </is>
      </c>
      <c r="B65" s="3" t="inlineStr">
        <is>
          <t>Agropecuarias</t>
        </is>
      </c>
      <c r="C65" s="5" t="n">
        <v>3</v>
      </c>
      <c r="D65" s="5">
        <f>ROUND(C65*$D$177/$C$177,0)</f>
        <v/>
      </c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 hidden="1" outlineLevel="2" ht="12.75" customHeight="1" s="156">
      <c r="A66" s="3" t="inlineStr">
        <is>
          <t>Jujuy</t>
        </is>
      </c>
      <c r="B66" s="3" t="inlineStr">
        <is>
          <t>Consumo</t>
        </is>
      </c>
      <c r="C66" s="5" t="n">
        <v>4</v>
      </c>
      <c r="D66" s="5">
        <f>ROUND(C66*$D$177/$C$177,0)</f>
        <v/>
      </c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 hidden="1" outlineLevel="2" ht="12.75" customHeight="1" s="156">
      <c r="A67" s="3" t="inlineStr">
        <is>
          <t>Jujuy</t>
        </is>
      </c>
      <c r="B67" s="3" t="inlineStr">
        <is>
          <t>Enseñanza</t>
        </is>
      </c>
      <c r="C67" s="5" t="n">
        <v>1</v>
      </c>
      <c r="D67" s="5">
        <f>ROUND(C67*$D$177/$C$177,0)</f>
        <v/>
      </c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 hidden="1" outlineLevel="2" ht="12.75" customHeight="1" s="156">
      <c r="A68" s="3" t="inlineStr">
        <is>
          <t>Jujuy</t>
        </is>
      </c>
      <c r="B68" s="3" t="inlineStr">
        <is>
          <t>Provisión</t>
        </is>
      </c>
      <c r="C68" s="5" t="n">
        <v>5</v>
      </c>
      <c r="D68" s="5">
        <f>ROUND(C68*$D$177/$C$177,0)</f>
        <v/>
      </c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 hidden="1" outlineLevel="2" ht="12.75" customHeight="1" s="156">
      <c r="A69" s="3" t="inlineStr">
        <is>
          <t>Jujuy</t>
        </is>
      </c>
      <c r="B69" s="3" t="inlineStr">
        <is>
          <t>Servicios Públicos</t>
        </is>
      </c>
      <c r="C69" s="5" t="n">
        <v>15</v>
      </c>
      <c r="D69" s="5">
        <f>ROUND(C69*$D$177/$C$177,0)</f>
        <v/>
      </c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 hidden="1" outlineLevel="2" ht="12.75" customHeight="1" s="156">
      <c r="A70" s="3" t="inlineStr">
        <is>
          <t>Jujuy</t>
        </is>
      </c>
      <c r="B70" s="3" t="inlineStr">
        <is>
          <t>Trabajo</t>
        </is>
      </c>
      <c r="C70" s="5" t="n">
        <v>10</v>
      </c>
      <c r="D70" s="5">
        <f>ROUND(C70*$D$177/$C$177,0)</f>
        <v/>
      </c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 hidden="1" outlineLevel="1" ht="12.75" customHeight="1" s="156">
      <c r="A71" s="10" t="inlineStr">
        <is>
          <t>Total Jujuy</t>
        </is>
      </c>
      <c r="B71" s="3" t="n"/>
      <c r="C71" s="5" t="n"/>
      <c r="D71" s="5">
        <f>SUBTOTAL(9,D65:D70)</f>
        <v/>
      </c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 hidden="1" outlineLevel="2" ht="12.75" customHeight="1" s="156">
      <c r="A72" s="3" t="inlineStr">
        <is>
          <t>La Pampa</t>
        </is>
      </c>
      <c r="B72" s="3" t="inlineStr">
        <is>
          <t>Agropecuarias</t>
        </is>
      </c>
      <c r="C72" s="5" t="n">
        <v>7</v>
      </c>
      <c r="D72" s="5">
        <f>ROUND(C72*$D$177/$C$177,0)</f>
        <v/>
      </c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 hidden="1" outlineLevel="2" ht="12.75" customHeight="1" s="156">
      <c r="A73" s="3" t="inlineStr">
        <is>
          <t>La Pampa</t>
        </is>
      </c>
      <c r="B73" s="3" t="inlineStr">
        <is>
          <t>Consumo</t>
        </is>
      </c>
      <c r="C73" s="5" t="n">
        <v>1</v>
      </c>
      <c r="D73" s="5">
        <f>ROUND(C73*$D$177/$C$177,0)</f>
        <v/>
      </c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 hidden="1" outlineLevel="2" ht="12.75" customHeight="1" s="156">
      <c r="A74" s="3" t="inlineStr">
        <is>
          <t>La Pampa</t>
        </is>
      </c>
      <c r="B74" s="3" t="inlineStr">
        <is>
          <t>Provisión</t>
        </is>
      </c>
      <c r="C74" s="5" t="n">
        <v>1</v>
      </c>
      <c r="D74" s="5">
        <f>ROUND(C74*$D$177/$C$177,0)</f>
        <v/>
      </c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 hidden="1" outlineLevel="2" ht="12.75" customHeight="1" s="156">
      <c r="A75" s="3" t="inlineStr">
        <is>
          <t>La Pampa</t>
        </is>
      </c>
      <c r="B75" s="3" t="inlineStr">
        <is>
          <t>Servicios Públicos</t>
        </is>
      </c>
      <c r="C75" s="5" t="n">
        <v>12</v>
      </c>
      <c r="D75" s="5">
        <f>ROUND(C75*$D$177/$C$177,0)</f>
        <v/>
      </c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 hidden="1" outlineLevel="2" ht="12.75" customHeight="1" s="156">
      <c r="A76" s="3" t="inlineStr">
        <is>
          <t>La Pampa</t>
        </is>
      </c>
      <c r="B76" s="3" t="inlineStr">
        <is>
          <t>Trabajo</t>
        </is>
      </c>
      <c r="C76" s="5" t="n">
        <v>1</v>
      </c>
      <c r="D76" s="5">
        <f>ROUND(C76*$D$177/$C$177,0)</f>
        <v/>
      </c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 hidden="1" outlineLevel="2" ht="12.75" customHeight="1" s="156">
      <c r="A77" s="3" t="inlineStr">
        <is>
          <t>La Pampa</t>
        </is>
      </c>
      <c r="B77" s="3" t="inlineStr">
        <is>
          <t>Vivienda</t>
        </is>
      </c>
      <c r="C77" s="5" t="n">
        <v>1</v>
      </c>
      <c r="D77" s="5">
        <f>ROUND(C77*$D$177/$C$177,0)</f>
        <v/>
      </c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 hidden="1" outlineLevel="1" ht="12.75" customHeight="1" s="156">
      <c r="A78" s="10" t="inlineStr">
        <is>
          <t>Total La Pampa</t>
        </is>
      </c>
      <c r="B78" s="3" t="n"/>
      <c r="C78" s="5" t="n"/>
      <c r="D78" s="5">
        <f>SUBTOTAL(9,D72:D77)</f>
        <v/>
      </c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 hidden="1" outlineLevel="2" ht="12.75" customHeight="1" s="156">
      <c r="A79" s="3" t="inlineStr">
        <is>
          <t>La Rioja</t>
        </is>
      </c>
      <c r="B79" s="3" t="inlineStr">
        <is>
          <t>Agropecuarias</t>
        </is>
      </c>
      <c r="C79" s="5" t="n">
        <v>2</v>
      </c>
      <c r="D79" s="5">
        <f>ROUND(C79*$D$177/$C$177,0)</f>
        <v/>
      </c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 hidden="1" outlineLevel="2" ht="12.75" customHeight="1" s="156">
      <c r="A80" s="3" t="inlineStr">
        <is>
          <t>La Rioja</t>
        </is>
      </c>
      <c r="B80" s="3" t="inlineStr">
        <is>
          <t>Bancarias</t>
        </is>
      </c>
      <c r="C80" s="5" t="n">
        <v>1</v>
      </c>
      <c r="D80" s="5">
        <f>ROUND(C80*$D$177/$C$177,0)</f>
        <v/>
      </c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 hidden="1" outlineLevel="2" ht="12.75" customHeight="1" s="156">
      <c r="A81" s="3" t="inlineStr">
        <is>
          <t>La Rioja</t>
        </is>
      </c>
      <c r="B81" s="3" t="inlineStr">
        <is>
          <t>Consumo</t>
        </is>
      </c>
      <c r="C81" s="5" t="n">
        <v>7</v>
      </c>
      <c r="D81" s="5">
        <f>ROUND(C81*$D$177/$C$177,0)</f>
        <v/>
      </c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 hidden="1" outlineLevel="2" ht="12.75" customHeight="1" s="156">
      <c r="A82" s="3" t="inlineStr">
        <is>
          <t>La Rioja</t>
        </is>
      </c>
      <c r="B82" s="3" t="inlineStr">
        <is>
          <t>Servicios Públicos</t>
        </is>
      </c>
      <c r="C82" s="5" t="n">
        <v>1</v>
      </c>
      <c r="D82" s="5">
        <f>ROUND(C82*$D$177/$C$177,0)</f>
        <v/>
      </c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 hidden="1" outlineLevel="2" ht="12.75" customHeight="1" s="156">
      <c r="A83" s="3" t="inlineStr">
        <is>
          <t>La Rioja</t>
        </is>
      </c>
      <c r="B83" s="3" t="inlineStr">
        <is>
          <t>Trabajo</t>
        </is>
      </c>
      <c r="C83" s="5" t="n">
        <v>9</v>
      </c>
      <c r="D83" s="5">
        <f>ROUND(C83*$D$177/$C$177,0)</f>
        <v/>
      </c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 hidden="1" outlineLevel="2" ht="12.75" customHeight="1" s="156">
      <c r="A84" s="3" t="inlineStr">
        <is>
          <t>La Rioja</t>
        </is>
      </c>
      <c r="B84" s="3" t="inlineStr">
        <is>
          <t>Vivienda</t>
        </is>
      </c>
      <c r="C84" s="5" t="n">
        <v>4</v>
      </c>
      <c r="D84" s="5">
        <f>ROUND(C84*$D$177/$C$177,0)</f>
        <v/>
      </c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 hidden="1" outlineLevel="1" ht="12.75" customHeight="1" s="156">
      <c r="A85" s="10" t="inlineStr">
        <is>
          <t>Total La Rioja</t>
        </is>
      </c>
      <c r="B85" s="3" t="n"/>
      <c r="C85" s="5" t="n"/>
      <c r="D85" s="5">
        <f>SUBTOTAL(9,D79:D84)</f>
        <v/>
      </c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 hidden="1" outlineLevel="2" ht="12.75" customHeight="1" s="156">
      <c r="A86" s="3" t="inlineStr">
        <is>
          <t>Mendoza</t>
        </is>
      </c>
      <c r="B86" s="3" t="inlineStr">
        <is>
          <t>Agropecuarias</t>
        </is>
      </c>
      <c r="C86" s="5" t="n">
        <v>33</v>
      </c>
      <c r="D86" s="5">
        <f>ROUND(C86*$D$177/$C$177,0)</f>
        <v/>
      </c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 hidden="1" outlineLevel="2" ht="12.75" customHeight="1" s="156">
      <c r="A87" s="3" t="inlineStr">
        <is>
          <t>Mendoza</t>
        </is>
      </c>
      <c r="B87" s="3" t="inlineStr">
        <is>
          <t>Consumo</t>
        </is>
      </c>
      <c r="C87" s="5" t="n">
        <v>17</v>
      </c>
      <c r="D87" s="5">
        <f>ROUND(C87*$D$177/$C$177,0)</f>
        <v/>
      </c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 hidden="1" outlineLevel="2" ht="12.75" customHeight="1" s="156">
      <c r="A88" s="3" t="inlineStr">
        <is>
          <t>Mendoza</t>
        </is>
      </c>
      <c r="B88" s="3" t="inlineStr">
        <is>
          <t>Escolares</t>
        </is>
      </c>
      <c r="C88" s="5" t="n">
        <v>1</v>
      </c>
      <c r="D88" s="5">
        <f>ROUND(C88*$D$177/$C$177,0)</f>
        <v/>
      </c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 hidden="1" outlineLevel="2" ht="12.75" customHeight="1" s="156">
      <c r="A89" s="3" t="inlineStr">
        <is>
          <t>Mendoza</t>
        </is>
      </c>
      <c r="B89" s="3" t="inlineStr">
        <is>
          <t>Provisión</t>
        </is>
      </c>
      <c r="C89" s="5" t="n">
        <v>6</v>
      </c>
      <c r="D89" s="5">
        <f>ROUND(C89*$D$177/$C$177,0)</f>
        <v/>
      </c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 hidden="1" outlineLevel="2" ht="12.75" customHeight="1" s="156">
      <c r="A90" s="3" t="inlineStr">
        <is>
          <t>Mendoza</t>
        </is>
      </c>
      <c r="B90" s="3" t="inlineStr">
        <is>
          <t>Servicios Públicos</t>
        </is>
      </c>
      <c r="C90" s="5" t="n">
        <v>13</v>
      </c>
      <c r="D90" s="5">
        <f>ROUND(C90*$D$177/$C$177,0)</f>
        <v/>
      </c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 hidden="1" outlineLevel="2" ht="12.75" customHeight="1" s="156">
      <c r="A91" s="3" t="inlineStr">
        <is>
          <t>Mendoza</t>
        </is>
      </c>
      <c r="B91" s="3" t="inlineStr">
        <is>
          <t>Trabajo</t>
        </is>
      </c>
      <c r="C91" s="5" t="n">
        <v>8</v>
      </c>
      <c r="D91" s="5">
        <f>ROUND(C91*$D$177/$C$177,0)</f>
        <v/>
      </c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 hidden="1" outlineLevel="2" ht="12.75" customHeight="1" s="156">
      <c r="A92" s="3" t="inlineStr">
        <is>
          <t>Mendoza</t>
        </is>
      </c>
      <c r="B92" s="3" t="inlineStr">
        <is>
          <t>Vivienda</t>
        </is>
      </c>
      <c r="C92" s="5" t="n">
        <v>19</v>
      </c>
      <c r="D92" s="5">
        <f>ROUND(C92*$D$177/$C$177,0)</f>
        <v/>
      </c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 hidden="1" outlineLevel="1" ht="12.75" customHeight="1" s="156">
      <c r="A93" s="10" t="inlineStr">
        <is>
          <t>Total Mendoza</t>
        </is>
      </c>
      <c r="B93" s="3" t="n"/>
      <c r="C93" s="5" t="n"/>
      <c r="D93" s="5">
        <f>SUBTOTAL(9,D86:D92)</f>
        <v/>
      </c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 hidden="1" outlineLevel="2" ht="12.75" customHeight="1" s="156">
      <c r="A94" s="3" t="inlineStr">
        <is>
          <t>Misiones</t>
        </is>
      </c>
      <c r="B94" s="3" t="inlineStr">
        <is>
          <t>Agropecuarias</t>
        </is>
      </c>
      <c r="C94" s="5" t="n">
        <v>26</v>
      </c>
      <c r="D94" s="5">
        <f>ROUND(C94*$D$177/$C$177,0)</f>
        <v/>
      </c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 hidden="1" outlineLevel="2" ht="12.75" customHeight="1" s="156">
      <c r="A95" s="3" t="inlineStr">
        <is>
          <t>Misiones</t>
        </is>
      </c>
      <c r="B95" s="3" t="inlineStr">
        <is>
          <t>Escolares</t>
        </is>
      </c>
      <c r="C95" s="5" t="n">
        <v>1</v>
      </c>
      <c r="D95" s="5">
        <f>ROUND(C95*$D$177/$C$177,0)</f>
        <v/>
      </c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 hidden="1" outlineLevel="2" ht="12.75" customHeight="1" s="156">
      <c r="A96" s="3" t="inlineStr">
        <is>
          <t>Misiones</t>
        </is>
      </c>
      <c r="B96" s="3" t="inlineStr">
        <is>
          <t>Provisión</t>
        </is>
      </c>
      <c r="C96" s="5" t="n">
        <v>1</v>
      </c>
      <c r="D96" s="5">
        <f>ROUND(C96*$D$177/$C$177,0)</f>
        <v/>
      </c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 hidden="1" outlineLevel="2" ht="12.75" customHeight="1" s="156">
      <c r="A97" s="3" t="inlineStr">
        <is>
          <t>Misiones</t>
        </is>
      </c>
      <c r="B97" s="3" t="inlineStr">
        <is>
          <t>Servicios Públicos</t>
        </is>
      </c>
      <c r="C97" s="5" t="n">
        <v>30</v>
      </c>
      <c r="D97" s="5">
        <f>ROUND(C97*$D$177/$C$177,0)</f>
        <v/>
      </c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 hidden="1" outlineLevel="2" ht="12.75" customHeight="1" s="156">
      <c r="A98" s="3" t="inlineStr">
        <is>
          <t>Misiones</t>
        </is>
      </c>
      <c r="B98" s="3" t="inlineStr">
        <is>
          <t>Trabajo</t>
        </is>
      </c>
      <c r="C98" s="5" t="n">
        <v>4</v>
      </c>
      <c r="D98" s="5">
        <f>ROUND(C98*$D$177/$C$177,0)</f>
        <v/>
      </c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 hidden="1" outlineLevel="2" ht="12.75" customHeight="1" s="156">
      <c r="A99" s="3" t="inlineStr">
        <is>
          <t>Misiones</t>
        </is>
      </c>
      <c r="B99" s="3" t="inlineStr">
        <is>
          <t>Vivienda</t>
        </is>
      </c>
      <c r="C99" s="5" t="n">
        <v>1</v>
      </c>
      <c r="D99" s="5">
        <f>ROUND(C99*$D$177/$C$177,0)</f>
        <v/>
      </c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 hidden="1" outlineLevel="1" ht="12.75" customHeight="1" s="156">
      <c r="A100" s="10" t="inlineStr">
        <is>
          <t>Total Misiones</t>
        </is>
      </c>
      <c r="B100" s="3" t="n"/>
      <c r="C100" s="5" t="n"/>
      <c r="D100" s="5">
        <f>SUBTOTAL(9,D94:D99)</f>
        <v/>
      </c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 hidden="1" outlineLevel="2" ht="12.75" customHeight="1" s="156">
      <c r="A101" s="3" t="inlineStr">
        <is>
          <t>Neuquén</t>
        </is>
      </c>
      <c r="B101" s="3" t="inlineStr">
        <is>
          <t>Agropecuarias</t>
        </is>
      </c>
      <c r="C101" s="5" t="n">
        <v>1</v>
      </c>
      <c r="D101" s="5">
        <f>ROUND(C101*$D$177/$C$177,0)</f>
        <v/>
      </c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 hidden="1" outlineLevel="2" ht="12.75" customHeight="1" s="156">
      <c r="A102" s="3" t="inlineStr">
        <is>
          <t>Neuquén</t>
        </is>
      </c>
      <c r="B102" s="3" t="inlineStr">
        <is>
          <t>Bancarias</t>
        </is>
      </c>
      <c r="C102" s="5" t="n">
        <v>1</v>
      </c>
      <c r="D102" s="5">
        <f>ROUND(C102*$D$177/$C$177,0)</f>
        <v/>
      </c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 hidden="1" outlineLevel="2" ht="12.75" customHeight="1" s="156">
      <c r="A103" s="3" t="inlineStr">
        <is>
          <t>Neuquén</t>
        </is>
      </c>
      <c r="B103" s="3" t="inlineStr">
        <is>
          <t>Consumo</t>
        </is>
      </c>
      <c r="C103" s="5" t="n">
        <v>4</v>
      </c>
      <c r="D103" s="5">
        <f>ROUND(C103*$D$177/$C$177,0)</f>
        <v/>
      </c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 hidden="1" outlineLevel="2" ht="12.75" customHeight="1" s="156">
      <c r="A104" s="3" t="inlineStr">
        <is>
          <t>Neuquén</t>
        </is>
      </c>
      <c r="B104" s="3" t="inlineStr">
        <is>
          <t>Provisión</t>
        </is>
      </c>
      <c r="C104" s="5" t="n">
        <v>2</v>
      </c>
      <c r="D104" s="5">
        <f>ROUND(C104*$D$177/$C$177,0)</f>
        <v/>
      </c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 hidden="1" outlineLevel="2" ht="12.75" customHeight="1" s="156">
      <c r="A105" s="3" t="inlineStr">
        <is>
          <t>Neuquén</t>
        </is>
      </c>
      <c r="B105" s="3" t="inlineStr">
        <is>
          <t>Servicios Públicos</t>
        </is>
      </c>
      <c r="C105" s="5" t="n">
        <v>7</v>
      </c>
      <c r="D105" s="5">
        <f>ROUND(C105*$D$177/$C$177,0)</f>
        <v/>
      </c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 hidden="1" outlineLevel="2" ht="12.75" customHeight="1" s="156">
      <c r="A106" s="3" t="inlineStr">
        <is>
          <t>Neuquén</t>
        </is>
      </c>
      <c r="B106" s="3" t="inlineStr">
        <is>
          <t>Trabajo</t>
        </is>
      </c>
      <c r="C106" s="5" t="n">
        <v>1</v>
      </c>
      <c r="D106" s="5">
        <f>ROUND(C106*$D$177/$C$177,0)</f>
        <v/>
      </c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 hidden="1" outlineLevel="2" ht="12.75" customHeight="1" s="156">
      <c r="A107" s="3" t="inlineStr">
        <is>
          <t>Neuquén</t>
        </is>
      </c>
      <c r="B107" s="3" t="inlineStr">
        <is>
          <t>Vivienda</t>
        </is>
      </c>
      <c r="C107" s="5" t="n">
        <v>5</v>
      </c>
      <c r="D107" s="5">
        <f>ROUND(C107*$D$177/$C$177,0)</f>
        <v/>
      </c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 hidden="1" outlineLevel="1" ht="12.75" customHeight="1" s="156">
      <c r="A108" s="10" t="inlineStr">
        <is>
          <t>Total Neuquén</t>
        </is>
      </c>
      <c r="B108" s="3" t="n"/>
      <c r="C108" s="5" t="n"/>
      <c r="D108" s="5">
        <f>SUBTOTAL(9,D101:D107)</f>
        <v/>
      </c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 hidden="1" outlineLevel="2" ht="12.75" customHeight="1" s="156">
      <c r="A109" s="3" t="inlineStr">
        <is>
          <t>Río Negro</t>
        </is>
      </c>
      <c r="B109" s="3" t="inlineStr">
        <is>
          <t>Agropecuarias</t>
        </is>
      </c>
      <c r="C109" s="5" t="n">
        <v>13</v>
      </c>
      <c r="D109" s="5">
        <f>ROUND(C109*$D$177/$C$177,0)</f>
        <v/>
      </c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 hidden="1" outlineLevel="2" ht="12.75" customHeight="1" s="156">
      <c r="A110" s="3" t="inlineStr">
        <is>
          <t>Río Negro</t>
        </is>
      </c>
      <c r="B110" s="3" t="inlineStr">
        <is>
          <t>Consumo</t>
        </is>
      </c>
      <c r="C110" s="5" t="n">
        <v>16</v>
      </c>
      <c r="D110" s="5">
        <f>ROUND(C110*$D$177/$C$177,0)</f>
        <v/>
      </c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 hidden="1" outlineLevel="2" ht="12.75" customHeight="1" s="156">
      <c r="A111" s="3" t="inlineStr">
        <is>
          <t>Río Negro</t>
        </is>
      </c>
      <c r="B111" s="3" t="inlineStr">
        <is>
          <t>Provisión</t>
        </is>
      </c>
      <c r="C111" s="5" t="n">
        <v>2</v>
      </c>
      <c r="D111" s="5">
        <f>ROUND(C111*$D$177/$C$177,0)</f>
        <v/>
      </c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 hidden="1" outlineLevel="2" ht="12.75" customHeight="1" s="156">
      <c r="A112" s="3" t="inlineStr">
        <is>
          <t>Río Negro</t>
        </is>
      </c>
      <c r="B112" s="3" t="inlineStr">
        <is>
          <t>Servicios Públicos</t>
        </is>
      </c>
      <c r="C112" s="5" t="n">
        <v>7</v>
      </c>
      <c r="D112" s="5">
        <f>ROUND(C112*$D$177/$C$177,0)</f>
        <v/>
      </c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 hidden="1" outlineLevel="2" ht="12.75" customHeight="1" s="156">
      <c r="A113" s="3" t="inlineStr">
        <is>
          <t>Río Negro</t>
        </is>
      </c>
      <c r="B113" s="3" t="inlineStr">
        <is>
          <t>Trabajo</t>
        </is>
      </c>
      <c r="C113" s="5" t="n">
        <v>7</v>
      </c>
      <c r="D113" s="5">
        <f>ROUND(C113*$D$177/$C$177,0)</f>
        <v/>
      </c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 hidden="1" outlineLevel="2" ht="12.75" customHeight="1" s="156">
      <c r="A114" s="3" t="inlineStr">
        <is>
          <t>Río Negro</t>
        </is>
      </c>
      <c r="B114" s="3" t="inlineStr">
        <is>
          <t>Vivienda</t>
        </is>
      </c>
      <c r="C114" s="5" t="n">
        <v>5</v>
      </c>
      <c r="D114" s="5">
        <f>ROUND(C114*$D$177/$C$177,0)</f>
        <v/>
      </c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 hidden="1" outlineLevel="1" ht="12.75" customHeight="1" s="156">
      <c r="A115" s="10" t="inlineStr">
        <is>
          <t>Total Río Negro</t>
        </is>
      </c>
      <c r="B115" s="3" t="n"/>
      <c r="C115" s="5" t="n"/>
      <c r="D115" s="5">
        <f>SUBTOTAL(9,D109:D114)</f>
        <v/>
      </c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 hidden="1" outlineLevel="2" ht="12.75" customHeight="1" s="156">
      <c r="A116" s="3" t="inlineStr">
        <is>
          <t>Salta</t>
        </is>
      </c>
      <c r="B116" s="3" t="inlineStr">
        <is>
          <t>Agropecuarias</t>
        </is>
      </c>
      <c r="C116" s="5" t="n">
        <v>2</v>
      </c>
      <c r="D116" s="5">
        <f>ROUND(C116*$D$177/$C$177,0)</f>
        <v/>
      </c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 hidden="1" outlineLevel="2" ht="12.75" customHeight="1" s="156">
      <c r="A117" s="3" t="inlineStr">
        <is>
          <t>Salta</t>
        </is>
      </c>
      <c r="B117" s="3" t="inlineStr">
        <is>
          <t>Bancarias</t>
        </is>
      </c>
      <c r="C117" s="5" t="n">
        <v>1</v>
      </c>
      <c r="D117" s="5">
        <f>ROUND(C117*$D$177/$C$177,0)</f>
        <v/>
      </c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 hidden="1" outlineLevel="2" ht="12.75" customHeight="1" s="156">
      <c r="A118" s="3" t="inlineStr">
        <is>
          <t>Salta</t>
        </is>
      </c>
      <c r="B118" s="3" t="inlineStr">
        <is>
          <t>Consumo</t>
        </is>
      </c>
      <c r="C118" s="5" t="n">
        <v>2</v>
      </c>
      <c r="D118" s="5">
        <f>ROUND(C118*$D$177/$C$177,0)</f>
        <v/>
      </c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 hidden="1" outlineLevel="2" ht="12.75" customHeight="1" s="156">
      <c r="A119" s="3" t="inlineStr">
        <is>
          <t>Salta</t>
        </is>
      </c>
      <c r="B119" s="3" t="inlineStr">
        <is>
          <t>Enseñanza</t>
        </is>
      </c>
      <c r="C119" s="5" t="n">
        <v>1</v>
      </c>
      <c r="D119" s="5">
        <f>ROUND(C119*$D$177/$C$177,0)</f>
        <v/>
      </c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 hidden="1" outlineLevel="2" ht="12.75" customHeight="1" s="156">
      <c r="A120" s="3" t="inlineStr">
        <is>
          <t>Salta</t>
        </is>
      </c>
      <c r="B120" s="3" t="inlineStr">
        <is>
          <t>Provisión</t>
        </is>
      </c>
      <c r="C120" s="5" t="n">
        <v>1</v>
      </c>
      <c r="D120" s="5">
        <f>ROUND(C120*$D$177/$C$177,0)</f>
        <v/>
      </c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 hidden="1" outlineLevel="2" ht="12.75" customHeight="1" s="156">
      <c r="A121" s="3" t="inlineStr">
        <is>
          <t>Salta</t>
        </is>
      </c>
      <c r="B121" s="3" t="inlineStr">
        <is>
          <t>Servicios Públicos</t>
        </is>
      </c>
      <c r="C121" s="5" t="n">
        <v>1</v>
      </c>
      <c r="D121" s="5">
        <f>ROUND(C121*$D$177/$C$177,0)</f>
        <v/>
      </c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 hidden="1" outlineLevel="2" ht="12.75" customHeight="1" s="156">
      <c r="A122" s="3" t="inlineStr">
        <is>
          <t>Salta</t>
        </is>
      </c>
      <c r="B122" s="3" t="inlineStr">
        <is>
          <t>Trabajo</t>
        </is>
      </c>
      <c r="C122" s="5" t="n">
        <v>12</v>
      </c>
      <c r="D122" s="5">
        <f>ROUND(C122*$D$177/$C$177,0)</f>
        <v/>
      </c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 hidden="1" outlineLevel="2" ht="12.75" customHeight="1" s="156">
      <c r="A123" s="3" t="inlineStr">
        <is>
          <t>Salta</t>
        </is>
      </c>
      <c r="B123" s="3" t="inlineStr">
        <is>
          <t>Vivienda</t>
        </is>
      </c>
      <c r="C123" s="5" t="n">
        <v>1</v>
      </c>
      <c r="D123" s="5">
        <f>ROUND(C123*$D$177/$C$177,0)</f>
        <v/>
      </c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 hidden="1" outlineLevel="1" ht="12.75" customHeight="1" s="156">
      <c r="A124" s="10" t="inlineStr">
        <is>
          <t>Total Salta</t>
        </is>
      </c>
      <c r="B124" s="3" t="n"/>
      <c r="C124" s="5" t="n"/>
      <c r="D124" s="5">
        <f>SUBTOTAL(9,D116:D123)</f>
        <v/>
      </c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 hidden="1" outlineLevel="2" ht="12.75" customHeight="1" s="156">
      <c r="A125" s="3" t="inlineStr">
        <is>
          <t>San Juan</t>
        </is>
      </c>
      <c r="B125" s="3" t="inlineStr">
        <is>
          <t>Agropecuarias</t>
        </is>
      </c>
      <c r="C125" s="5" t="n">
        <v>6</v>
      </c>
      <c r="D125" s="5">
        <f>ROUND(C125*$D$177/$C$177,0)</f>
        <v/>
      </c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 hidden="1" outlineLevel="2" ht="12.75" customHeight="1" s="156">
      <c r="A126" s="3" t="inlineStr">
        <is>
          <t>San Juan</t>
        </is>
      </c>
      <c r="B126" s="3" t="inlineStr">
        <is>
          <t>Bancarias</t>
        </is>
      </c>
      <c r="C126" s="5" t="n">
        <v>1</v>
      </c>
      <c r="D126" s="5">
        <f>ROUND(C126*$D$177/$C$177,0)</f>
        <v/>
      </c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 hidden="1" outlineLevel="2" ht="12.75" customHeight="1" s="156">
      <c r="A127" s="3" t="inlineStr">
        <is>
          <t>San Juan</t>
        </is>
      </c>
      <c r="B127" s="3" t="inlineStr">
        <is>
          <t>Consumo</t>
        </is>
      </c>
      <c r="C127" s="5" t="n">
        <v>3</v>
      </c>
      <c r="D127" s="5">
        <f>ROUND(C127*$D$177/$C$177,0)</f>
        <v/>
      </c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 hidden="1" outlineLevel="2" ht="12.75" customHeight="1" s="156">
      <c r="A128" s="3" t="inlineStr">
        <is>
          <t>San Juan</t>
        </is>
      </c>
      <c r="B128" s="3" t="inlineStr">
        <is>
          <t>Provisión</t>
        </is>
      </c>
      <c r="C128" s="5" t="n">
        <v>1</v>
      </c>
      <c r="D128" s="5">
        <f>ROUND(C128*$D$177/$C$177,0)</f>
        <v/>
      </c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 hidden="1" outlineLevel="2" ht="12.75" customHeight="1" s="156">
      <c r="A129" s="3" t="inlineStr">
        <is>
          <t>San Juan</t>
        </is>
      </c>
      <c r="B129" s="3" t="inlineStr">
        <is>
          <t>Servicios Públicos</t>
        </is>
      </c>
      <c r="C129" s="5" t="n">
        <v>7</v>
      </c>
      <c r="D129" s="5">
        <f>ROUND(C129*$D$177/$C$177,0)</f>
        <v/>
      </c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 hidden="1" outlineLevel="2" ht="12.75" customHeight="1" s="156">
      <c r="A130" s="3" t="inlineStr">
        <is>
          <t>San Juan</t>
        </is>
      </c>
      <c r="B130" s="3" t="inlineStr">
        <is>
          <t>Vivienda</t>
        </is>
      </c>
      <c r="C130" s="5" t="n">
        <v>3</v>
      </c>
      <c r="D130" s="5">
        <f>ROUND(C130*$D$177/$C$177,0)</f>
        <v/>
      </c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 hidden="1" outlineLevel="1" ht="12.75" customHeight="1" s="156">
      <c r="A131" s="10" t="inlineStr">
        <is>
          <t>Total San Juan</t>
        </is>
      </c>
      <c r="B131" s="3" t="n"/>
      <c r="C131" s="5" t="n"/>
      <c r="D131" s="5">
        <f>SUBTOTAL(9,D125:D130)</f>
        <v/>
      </c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 hidden="1" outlineLevel="2" ht="12.75" customHeight="1" s="156">
      <c r="A132" s="3" t="inlineStr">
        <is>
          <t>San Luis</t>
        </is>
      </c>
      <c r="B132" s="3" t="inlineStr">
        <is>
          <t>Agropecuarias</t>
        </is>
      </c>
      <c r="C132" s="5" t="n">
        <v>2</v>
      </c>
      <c r="D132" s="5">
        <f>ROUND(C132*$D$177/$C$177,0)</f>
        <v/>
      </c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 hidden="1" outlineLevel="2" ht="12.75" customHeight="1" s="156">
      <c r="A133" s="3" t="inlineStr">
        <is>
          <t>San Luis</t>
        </is>
      </c>
      <c r="B133" s="3" t="inlineStr">
        <is>
          <t>Bancarias</t>
        </is>
      </c>
      <c r="C133" s="5" t="n">
        <v>2</v>
      </c>
      <c r="D133" s="5">
        <f>ROUND(C133*$D$177/$C$177,0)</f>
        <v/>
      </c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 hidden="1" outlineLevel="2" ht="12.75" customHeight="1" s="156">
      <c r="A134" s="3" t="inlineStr">
        <is>
          <t>San Luis</t>
        </is>
      </c>
      <c r="B134" s="3" t="inlineStr">
        <is>
          <t>Consumo</t>
        </is>
      </c>
      <c r="C134" s="5" t="n">
        <v>5</v>
      </c>
      <c r="D134" s="5">
        <f>ROUND(C134*$D$177/$C$177,0)</f>
        <v/>
      </c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 hidden="1" outlineLevel="2" ht="12.75" customHeight="1" s="156">
      <c r="A135" s="3" t="inlineStr">
        <is>
          <t>San Luis</t>
        </is>
      </c>
      <c r="B135" s="3" t="inlineStr">
        <is>
          <t>Servicios Públicos</t>
        </is>
      </c>
      <c r="C135" s="5" t="n">
        <v>7</v>
      </c>
      <c r="D135" s="5">
        <f>ROUND(C135*$D$177/$C$177,0)</f>
        <v/>
      </c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 hidden="1" outlineLevel="2" ht="12.75" customHeight="1" s="156">
      <c r="A136" s="3" t="inlineStr">
        <is>
          <t>San Luis</t>
        </is>
      </c>
      <c r="B136" s="3" t="inlineStr">
        <is>
          <t>Trabajo</t>
        </is>
      </c>
      <c r="C136" s="5" t="n">
        <v>3</v>
      </c>
      <c r="D136" s="5">
        <f>ROUND(C136*$D$177/$C$177,0)</f>
        <v/>
      </c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 hidden="1" outlineLevel="1" ht="12.75" customHeight="1" s="156">
      <c r="A137" s="10" t="inlineStr">
        <is>
          <t>Total San Luis</t>
        </is>
      </c>
      <c r="B137" s="3" t="n"/>
      <c r="C137" s="5" t="n"/>
      <c r="D137" s="5">
        <f>SUBTOTAL(9,D132:D136)</f>
        <v/>
      </c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 hidden="1" outlineLevel="2" ht="12.75" customHeight="1" s="156">
      <c r="A138" s="3" t="inlineStr">
        <is>
          <t>Santa Cruz</t>
        </is>
      </c>
      <c r="B138" s="3" t="inlineStr">
        <is>
          <t>Agropecuarias</t>
        </is>
      </c>
      <c r="C138" s="5" t="n">
        <v>6</v>
      </c>
      <c r="D138" s="5">
        <f>ROUND(C138*$D$177/$C$177,0)</f>
        <v/>
      </c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 hidden="1" outlineLevel="2" ht="12.75" customHeight="1" s="156">
      <c r="A139" s="3" t="inlineStr">
        <is>
          <t>Santa Cruz</t>
        </is>
      </c>
      <c r="B139" s="3" t="inlineStr">
        <is>
          <t>Consumo</t>
        </is>
      </c>
      <c r="C139" s="5" t="n">
        <v>4</v>
      </c>
      <c r="D139" s="5">
        <f>ROUND(C139*$D$177/$C$177,0)</f>
        <v/>
      </c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 hidden="1" outlineLevel="2" ht="12.75" customHeight="1" s="156">
      <c r="A140" s="3" t="inlineStr">
        <is>
          <t>Santa Cruz</t>
        </is>
      </c>
      <c r="B140" s="3" t="inlineStr">
        <is>
          <t>Escolares</t>
        </is>
      </c>
      <c r="C140" s="5" t="n">
        <v>1</v>
      </c>
      <c r="D140" s="5">
        <f>ROUND(C140*$D$177/$C$177,0)</f>
        <v/>
      </c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 hidden="1" outlineLevel="2" ht="12.75" customHeight="1" s="156">
      <c r="A141" s="3" t="inlineStr">
        <is>
          <t>Santa Cruz</t>
        </is>
      </c>
      <c r="B141" s="3" t="inlineStr">
        <is>
          <t>Provisión</t>
        </is>
      </c>
      <c r="C141" s="5" t="n">
        <v>1</v>
      </c>
      <c r="D141" s="5">
        <f>ROUND(C141*$D$177/$C$177,0)</f>
        <v/>
      </c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 hidden="1" outlineLevel="2" ht="12.75" customHeight="1" s="156">
      <c r="A142" s="3" t="inlineStr">
        <is>
          <t>Santa Cruz</t>
        </is>
      </c>
      <c r="B142" s="3" t="inlineStr">
        <is>
          <t>Servicios Públicos</t>
        </is>
      </c>
      <c r="C142" s="5" t="n">
        <v>7</v>
      </c>
      <c r="D142" s="5">
        <f>ROUND(C142*$D$177/$C$177,0)</f>
        <v/>
      </c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 hidden="1" outlineLevel="2" ht="12.75" customHeight="1" s="156">
      <c r="A143" s="3" t="inlineStr">
        <is>
          <t>Santa Cruz</t>
        </is>
      </c>
      <c r="B143" s="3" t="inlineStr">
        <is>
          <t>Trabajo</t>
        </is>
      </c>
      <c r="C143" s="5" t="n">
        <v>6</v>
      </c>
      <c r="D143" s="5">
        <f>ROUND(C143*$D$177/$C$177,0)</f>
        <v/>
      </c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 hidden="1" outlineLevel="1" ht="12.75" customHeight="1" s="156">
      <c r="A144" s="10" t="inlineStr">
        <is>
          <t>Total Santa Cruz</t>
        </is>
      </c>
      <c r="B144" s="3" t="n"/>
      <c r="C144" s="5" t="n"/>
      <c r="D144" s="5">
        <f>SUBTOTAL(9,D138:D143)</f>
        <v/>
      </c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 hidden="1" outlineLevel="2" ht="12.75" customHeight="1" s="156">
      <c r="A145" s="3" t="inlineStr">
        <is>
          <t>Santa Fe</t>
        </is>
      </c>
      <c r="B145" s="3" t="inlineStr">
        <is>
          <t>Agropecuarias</t>
        </is>
      </c>
      <c r="C145" s="5" t="n">
        <v>208</v>
      </c>
      <c r="D145" s="5">
        <f>ROUND(C145*$D$177/$C$177,0)</f>
        <v/>
      </c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 hidden="1" outlineLevel="2" ht="12.75" customHeight="1" s="156">
      <c r="A146" s="3" t="inlineStr">
        <is>
          <t>Santa Fe</t>
        </is>
      </c>
      <c r="B146" s="3" t="inlineStr">
        <is>
          <t>Bancarias</t>
        </is>
      </c>
      <c r="C146" s="5" t="n">
        <v>5</v>
      </c>
      <c r="D146" s="5">
        <f>ROUND(C146*$D$177/$C$177,0)</f>
        <v/>
      </c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 hidden="1" outlineLevel="2" ht="12.75" customHeight="1" s="156">
      <c r="A147" s="3" t="inlineStr">
        <is>
          <t>Santa Fe</t>
        </is>
      </c>
      <c r="B147" s="3" t="inlineStr">
        <is>
          <t>Consumo</t>
        </is>
      </c>
      <c r="C147" s="5" t="n">
        <v>41</v>
      </c>
      <c r="D147" s="5">
        <f>ROUND(C147*$D$177/$C$177,0)</f>
        <v/>
      </c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 hidden="1" outlineLevel="2" ht="12.75" customHeight="1" s="156">
      <c r="A148" s="3" t="inlineStr">
        <is>
          <t>Santa Fe</t>
        </is>
      </c>
      <c r="B148" s="3" t="inlineStr">
        <is>
          <t>Escolares</t>
        </is>
      </c>
      <c r="C148" s="5" t="n">
        <v>2</v>
      </c>
      <c r="D148" s="5">
        <f>ROUND(C148*$D$177/$C$177,0)</f>
        <v/>
      </c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 hidden="1" outlineLevel="2" ht="12.75" customHeight="1" s="156">
      <c r="A149" s="3" t="inlineStr">
        <is>
          <t>Santa Fe</t>
        </is>
      </c>
      <c r="B149" s="3" t="inlineStr">
        <is>
          <t>Provisión</t>
        </is>
      </c>
      <c r="C149" s="5" t="n">
        <v>29</v>
      </c>
      <c r="D149" s="5">
        <f>ROUND(C149*$D$177/$C$177,0)</f>
        <v/>
      </c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 hidden="1" outlineLevel="2" ht="12.75" customHeight="1" s="156">
      <c r="A150" s="3" t="inlineStr">
        <is>
          <t>Santa Fe</t>
        </is>
      </c>
      <c r="B150" s="3" t="inlineStr">
        <is>
          <t>Seguros</t>
        </is>
      </c>
      <c r="C150" s="5" t="n">
        <v>4</v>
      </c>
      <c r="D150" s="5">
        <f>ROUND(C150*$D$177/$C$177,0)</f>
        <v/>
      </c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 hidden="1" outlineLevel="2" ht="12.75" customHeight="1" s="156">
      <c r="A151" s="3" t="inlineStr">
        <is>
          <t>Santa Fe</t>
        </is>
      </c>
      <c r="B151" s="3" t="inlineStr">
        <is>
          <t>Servicios Públicos</t>
        </is>
      </c>
      <c r="C151" s="5" t="n">
        <v>191</v>
      </c>
      <c r="D151" s="5">
        <f>ROUND(C151*$D$177/$C$177,0)</f>
        <v/>
      </c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 hidden="1" outlineLevel="2" ht="12.75" customHeight="1" s="156">
      <c r="A152" s="3" t="inlineStr">
        <is>
          <t>Santa Fe</t>
        </is>
      </c>
      <c r="B152" s="3" t="inlineStr">
        <is>
          <t>Trabajo</t>
        </is>
      </c>
      <c r="C152" s="5" t="n">
        <v>29</v>
      </c>
      <c r="D152" s="5">
        <f>ROUND(C152*$D$177/$C$177,0)</f>
        <v/>
      </c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 hidden="1" outlineLevel="2" ht="12.75" customHeight="1" s="156">
      <c r="A153" s="3" t="inlineStr">
        <is>
          <t>Santa Fe</t>
        </is>
      </c>
      <c r="B153" s="3" t="inlineStr">
        <is>
          <t>Vivienda</t>
        </is>
      </c>
      <c r="C153" s="5" t="n">
        <v>16</v>
      </c>
      <c r="D153" s="5">
        <f>ROUND(C153*$D$177/$C$177,0)</f>
        <v/>
      </c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 hidden="1" outlineLevel="1" ht="12.75" customHeight="1" s="156">
      <c r="A154" s="10" t="inlineStr">
        <is>
          <t>Total Santa Fe</t>
        </is>
      </c>
      <c r="B154" s="3" t="n"/>
      <c r="C154" s="5" t="n"/>
      <c r="D154" s="5">
        <f>SUBTOTAL(9,D145:D153)</f>
        <v/>
      </c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 hidden="1" outlineLevel="2" ht="12.75" customHeight="1" s="156">
      <c r="A155" s="3" t="inlineStr">
        <is>
          <t>Santiago del</t>
        </is>
      </c>
      <c r="B155" s="3" t="inlineStr">
        <is>
          <t>Agropecuarias</t>
        </is>
      </c>
      <c r="C155" s="5" t="n">
        <v>3</v>
      </c>
      <c r="D155" s="5">
        <f>ROUND(C155*$D$177/$C$177,0)</f>
        <v/>
      </c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 hidden="1" outlineLevel="2" ht="12.75" customHeight="1" s="156">
      <c r="A156" s="3" t="inlineStr">
        <is>
          <t>Santiago del</t>
        </is>
      </c>
      <c r="B156" s="3" t="inlineStr">
        <is>
          <t>Bancarias</t>
        </is>
      </c>
      <c r="C156" s="5" t="n">
        <v>2</v>
      </c>
      <c r="D156" s="5">
        <f>ROUND(C156*$D$177/$C$177,0)</f>
        <v/>
      </c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 hidden="1" outlineLevel="2" ht="12.75" customHeight="1" s="156">
      <c r="A157" s="3" t="inlineStr">
        <is>
          <t>Santiago del</t>
        </is>
      </c>
      <c r="B157" s="3" t="inlineStr">
        <is>
          <t>Consumo</t>
        </is>
      </c>
      <c r="C157" s="5" t="n">
        <v>10</v>
      </c>
      <c r="D157" s="5">
        <f>ROUND(C157*$D$177/$C$177,0)</f>
        <v/>
      </c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 hidden="1" outlineLevel="2" ht="12.75" customHeight="1" s="156">
      <c r="A158" s="3" t="inlineStr">
        <is>
          <t>Santiago del</t>
        </is>
      </c>
      <c r="B158" s="3" t="inlineStr">
        <is>
          <t>Enseñanza</t>
        </is>
      </c>
      <c r="C158" s="5" t="n">
        <v>2</v>
      </c>
      <c r="D158" s="5">
        <f>ROUND(C158*$D$177/$C$177,0)</f>
        <v/>
      </c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 hidden="1" outlineLevel="2" ht="12.75" customHeight="1" s="156">
      <c r="A159" s="3" t="inlineStr">
        <is>
          <t>Santiago del</t>
        </is>
      </c>
      <c r="B159" s="3" t="inlineStr">
        <is>
          <t>Servicios Públicos</t>
        </is>
      </c>
      <c r="C159" s="5" t="n">
        <v>6</v>
      </c>
      <c r="D159" s="5">
        <f>ROUND(C159*$D$177/$C$177,0)</f>
        <v/>
      </c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 hidden="1" outlineLevel="2" ht="12.75" customHeight="1" s="156">
      <c r="A160" s="3" t="inlineStr">
        <is>
          <t>Santiago del</t>
        </is>
      </c>
      <c r="B160" s="3" t="inlineStr">
        <is>
          <t>Trabajo</t>
        </is>
      </c>
      <c r="C160" s="5" t="n">
        <v>3</v>
      </c>
      <c r="D160" s="5">
        <f>ROUND(C160*$D$177/$C$177,0)</f>
        <v/>
      </c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 hidden="1" outlineLevel="2" ht="12.75" customHeight="1" s="156">
      <c r="A161" s="3" t="inlineStr">
        <is>
          <t>Santiago del</t>
        </is>
      </c>
      <c r="B161" s="3" t="inlineStr">
        <is>
          <t>Vivienda</t>
        </is>
      </c>
      <c r="C161" s="5" t="n">
        <v>1</v>
      </c>
      <c r="D161" s="5">
        <f>ROUND(C161*$D$177/$C$177,0)</f>
        <v/>
      </c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 hidden="1" outlineLevel="1" ht="12.75" customHeight="1" s="156">
      <c r="A162" s="10" t="inlineStr">
        <is>
          <t>Total Santiago del</t>
        </is>
      </c>
      <c r="B162" s="3" t="n"/>
      <c r="C162" s="5" t="n"/>
      <c r="D162" s="5">
        <f>SUBTOTAL(9,D155:D161)</f>
        <v/>
      </c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 hidden="1" outlineLevel="2" ht="12.75" customHeight="1" s="156">
      <c r="A163" s="3" t="inlineStr">
        <is>
          <t>Tierra del Fu</t>
        </is>
      </c>
      <c r="B163" s="3" t="inlineStr">
        <is>
          <t>Consumo</t>
        </is>
      </c>
      <c r="C163" s="5" t="n">
        <v>8</v>
      </c>
      <c r="D163" s="5">
        <f>ROUND(C163*$D$177/$C$177,0)</f>
        <v/>
      </c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 hidden="1" outlineLevel="2" ht="12.75" customHeight="1" s="156">
      <c r="A164" s="3" t="inlineStr">
        <is>
          <t>Tierra del Fu</t>
        </is>
      </c>
      <c r="B164" s="3" t="inlineStr">
        <is>
          <t>Servicios Públicos</t>
        </is>
      </c>
      <c r="C164" s="5" t="n">
        <v>3</v>
      </c>
      <c r="D164" s="5">
        <f>ROUND(C164*$D$177/$C$177,0)</f>
        <v/>
      </c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 hidden="1" outlineLevel="2" ht="12.75" customHeight="1" s="156">
      <c r="A165" s="3" t="inlineStr">
        <is>
          <t>Tierra del Fu</t>
        </is>
      </c>
      <c r="B165" s="3" t="inlineStr">
        <is>
          <t>Trabajo</t>
        </is>
      </c>
      <c r="C165" s="5" t="n">
        <v>5</v>
      </c>
      <c r="D165" s="5">
        <f>ROUND(C165*$D$177/$C$177,0)</f>
        <v/>
      </c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 hidden="1" outlineLevel="1" ht="12.75" customHeight="1" s="156">
      <c r="A166" s="10" t="inlineStr">
        <is>
          <t>Total Tierra del Fu</t>
        </is>
      </c>
      <c r="B166" s="3" t="n"/>
      <c r="C166" s="5" t="n"/>
      <c r="D166" s="5">
        <f>SUBTOTAL(9,D163:D165)</f>
        <v/>
      </c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 hidden="1" outlineLevel="2" ht="12.75" customHeight="1" s="156">
      <c r="A167" s="3" t="inlineStr">
        <is>
          <t>Tucumán</t>
        </is>
      </c>
      <c r="B167" s="3" t="inlineStr">
        <is>
          <t>Agropecuarias</t>
        </is>
      </c>
      <c r="C167" s="5" t="n">
        <v>14</v>
      </c>
      <c r="D167" s="5">
        <f>ROUND(C167*$D$177/$C$177,0)</f>
        <v/>
      </c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 hidden="1" outlineLevel="2" ht="12.75" customHeight="1" s="156">
      <c r="A168" s="3" t="inlineStr">
        <is>
          <t>Tucumán</t>
        </is>
      </c>
      <c r="B168" s="3" t="inlineStr">
        <is>
          <t>Bancarias</t>
        </is>
      </c>
      <c r="C168" s="5" t="n">
        <v>4</v>
      </c>
      <c r="D168" s="5">
        <f>ROUND(C168*$D$177/$C$177,0)</f>
        <v/>
      </c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 hidden="1" outlineLevel="2" ht="12.75" customHeight="1" s="156">
      <c r="A169" s="3" t="inlineStr">
        <is>
          <t>Tucumán</t>
        </is>
      </c>
      <c r="B169" s="3" t="inlineStr">
        <is>
          <t>Consumo</t>
        </is>
      </c>
      <c r="C169" s="5" t="n">
        <v>9</v>
      </c>
      <c r="D169" s="5">
        <f>ROUND(C169*$D$177/$C$177,0)</f>
        <v/>
      </c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 hidden="1" outlineLevel="2" ht="12.75" customHeight="1" s="156">
      <c r="A170" s="3" t="inlineStr">
        <is>
          <t>Tucumán</t>
        </is>
      </c>
      <c r="B170" s="3" t="inlineStr">
        <is>
          <t>Escolares</t>
        </is>
      </c>
      <c r="C170" s="5" t="n">
        <v>1</v>
      </c>
      <c r="D170" s="5">
        <f>ROUND(C170*$D$177/$C$177,0)</f>
        <v/>
      </c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 hidden="1" outlineLevel="2" ht="12.75" customHeight="1" s="156">
      <c r="A171" s="3" t="inlineStr">
        <is>
          <t>Tucumán</t>
        </is>
      </c>
      <c r="B171" s="3" t="inlineStr">
        <is>
          <t>Provisión</t>
        </is>
      </c>
      <c r="C171" s="5" t="n">
        <v>4</v>
      </c>
      <c r="D171" s="5">
        <f>ROUND(C171*$D$177/$C$177,0)</f>
        <v/>
      </c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 hidden="1" outlineLevel="2" ht="12.75" customHeight="1" s="156">
      <c r="A172" s="3" t="inlineStr">
        <is>
          <t>Tucumán</t>
        </is>
      </c>
      <c r="B172" s="3" t="inlineStr">
        <is>
          <t>Servicios Públicos</t>
        </is>
      </c>
      <c r="C172" s="5" t="n">
        <v>2</v>
      </c>
      <c r="D172" s="5">
        <f>ROUND(C172*$D$177/$C$177,0)</f>
        <v/>
      </c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 hidden="1" outlineLevel="2" ht="12.75" customHeight="1" s="156">
      <c r="A173" s="3" t="inlineStr">
        <is>
          <t>Tucumán</t>
        </is>
      </c>
      <c r="B173" s="3" t="inlineStr">
        <is>
          <t>Trabajo</t>
        </is>
      </c>
      <c r="C173" s="5" t="n">
        <v>8</v>
      </c>
      <c r="D173" s="5">
        <f>ROUND(C173*$D$177/$C$177,0)</f>
        <v/>
      </c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 hidden="1" outlineLevel="2" ht="12.75" customHeight="1" s="156">
      <c r="A174" s="3" t="inlineStr">
        <is>
          <t>Tucumán</t>
        </is>
      </c>
      <c r="B174" s="3" t="inlineStr">
        <is>
          <t>Vivienda</t>
        </is>
      </c>
      <c r="C174" s="5" t="n">
        <v>1</v>
      </c>
      <c r="D174" s="5">
        <f>ROUND(C174*$D$177/$C$177,0)</f>
        <v/>
      </c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 hidden="1" outlineLevel="1" ht="12.75" customHeight="1" s="156">
      <c r="A175" s="11" t="inlineStr">
        <is>
          <t>Total Tucumán</t>
        </is>
      </c>
      <c r="B175" s="12" t="n"/>
      <c r="C175" s="13" t="n"/>
      <c r="D175" s="13">
        <f>SUBTOTAL(9,D167:D174)</f>
        <v/>
      </c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 collapsed="1" ht="12.75" customHeight="1" s="156">
      <c r="A176" s="11" t="inlineStr">
        <is>
          <t>Total general</t>
        </is>
      </c>
      <c r="B176" s="12" t="n"/>
      <c r="C176" s="13" t="n"/>
      <c r="D176" s="13">
        <f>SUBTOTAL(9,D2:D174)</f>
        <v/>
      </c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 ht="12.75" customHeight="1" s="156">
      <c r="A177" s="2" t="n"/>
      <c r="B177" s="6" t="inlineStr">
        <is>
          <t>Total</t>
        </is>
      </c>
      <c r="C177" s="6">
        <f>SUM(C2:C174)</f>
        <v/>
      </c>
      <c r="D177" s="6">
        <f>'Sub-Total Subrubros Argentina'!C39</f>
        <v/>
      </c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 ht="12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 ht="12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 ht="12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 ht="12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 ht="12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 ht="12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 ht="12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 ht="12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 ht="12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 ht="12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 ht="12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 ht="12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 ht="12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 ht="12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 ht="12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 ht="12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 ht="12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 ht="12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 ht="12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 ht="12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 ht="12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 ht="12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 ht="12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 ht="12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 ht="12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 ht="12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 ht="12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 ht="12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 ht="12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 ht="12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 ht="12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 ht="12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 ht="12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 ht="12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 ht="12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 ht="12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 ht="12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 ht="12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 ht="12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 ht="12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 ht="12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 ht="12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 ht="12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 ht="12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 ht="12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 ht="12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 ht="12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 ht="12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 ht="12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 ht="12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 ht="12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 ht="12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 ht="12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 ht="12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 ht="12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 ht="12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 ht="12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 ht="12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 ht="12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 ht="12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 ht="12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 ht="12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 ht="12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 ht="12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 ht="12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 ht="12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 ht="12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 ht="12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 ht="12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 ht="12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 ht="12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 ht="12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 ht="12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 ht="12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 ht="12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 ht="12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 ht="12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 ht="12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 ht="12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 ht="12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 ht="12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 ht="12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 ht="12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 ht="12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 ht="12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 ht="12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 ht="12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 ht="12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 ht="12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 ht="12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 ht="12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 ht="12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 ht="12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 ht="12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 ht="12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 ht="12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 ht="12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 ht="12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 ht="12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 ht="12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 ht="12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 ht="12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 ht="12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 ht="12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 ht="12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 ht="12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 ht="12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 ht="12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 ht="12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 ht="12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 ht="12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 ht="12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 ht="12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 ht="12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 ht="12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 ht="12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 ht="12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 ht="12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 ht="12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 ht="12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 ht="12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 ht="12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 ht="12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 ht="12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 ht="12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 ht="12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 ht="12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 ht="12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 ht="12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 ht="12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 ht="12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 ht="12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 ht="12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 ht="12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 ht="12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 ht="12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 ht="12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 ht="12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 ht="12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 ht="12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 ht="12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 ht="12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 ht="12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 ht="12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 ht="12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 ht="12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 ht="12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 ht="12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 ht="12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 ht="12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 ht="12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 ht="12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 ht="12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 ht="12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 ht="12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 ht="12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 ht="12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 ht="12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 ht="12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 ht="12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 ht="12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 ht="12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 ht="12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 ht="12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 ht="12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 ht="12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 ht="12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 ht="12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 ht="12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 ht="12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 ht="12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 ht="12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 ht="12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 ht="12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 ht="12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 ht="12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 ht="12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 ht="12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 ht="12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 ht="12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 ht="12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 ht="12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 ht="12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 ht="12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 ht="12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 ht="12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 ht="12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 ht="12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 ht="12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 ht="12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 ht="12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 ht="12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 ht="12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 ht="12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 ht="12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 ht="12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 ht="12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 ht="12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 ht="12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 ht="12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28"/>
  <sheetViews>
    <sheetView workbookViewId="0">
      <selection activeCell="A1" sqref="A1"/>
    </sheetView>
  </sheetViews>
  <sheetFormatPr baseColWidth="10" defaultColWidth="14.5" defaultRowHeight="15" customHeight="1" outlineLevelRow="2"/>
  <cols>
    <col width="12.6640625" customWidth="1" style="156" min="1" max="1"/>
    <col width="22.5" customWidth="1" style="156" min="2" max="2"/>
    <col width="17.1640625" customWidth="1" style="156" min="3" max="3"/>
    <col width="22.5" customWidth="1" style="156" min="4" max="4"/>
    <col width="11.5" customWidth="1" style="156" min="5" max="24"/>
  </cols>
  <sheetData>
    <row r="1" ht="12.75" customHeight="1" s="156">
      <c r="A1" s="1" t="inlineStr">
        <is>
          <t>Provincia</t>
        </is>
      </c>
      <c r="B1" s="1" t="inlineStr">
        <is>
          <t>Subrubro</t>
        </is>
      </c>
      <c r="C1" s="4" t="inlineStr">
        <is>
          <t>Total</t>
        </is>
      </c>
      <c r="D1" s="1" t="inlineStr">
        <is>
          <t>Ajuste x Coop. Telefónicas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idden="1" outlineLevel="2" ht="12.75" customHeight="1" s="156">
      <c r="A2" s="3" t="inlineStr">
        <is>
          <t>Buenos Aires</t>
        </is>
      </c>
      <c r="B2" s="3" t="inlineStr">
        <is>
          <t>Agropecuarias</t>
        </is>
      </c>
      <c r="C2" s="5" t="n">
        <v>113</v>
      </c>
      <c r="D2" s="5">
        <f>ROUND(C2*$D$325/$C$325,0)</f>
        <v/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idden="1" outlineLevel="2" ht="12.75" customHeight="1" s="156">
      <c r="A3" s="3" t="inlineStr">
        <is>
          <t>Buenos Aires</t>
        </is>
      </c>
      <c r="B3" s="3" t="inlineStr">
        <is>
          <t>Ahorro/Crédito/Emprend</t>
        </is>
      </c>
      <c r="C3" s="5" t="n">
        <v>22</v>
      </c>
      <c r="D3" s="5">
        <f>ROUND(C3*$D$325/$C$325,0)</f>
        <v/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idden="1" outlineLevel="2" ht="12.75" customHeight="1" s="156">
      <c r="A4" s="3" t="inlineStr">
        <is>
          <t>Buenos Aires</t>
        </is>
      </c>
      <c r="B4" s="3" t="inlineStr">
        <is>
          <t>Apícolas</t>
        </is>
      </c>
      <c r="C4" s="5" t="n">
        <v>2</v>
      </c>
      <c r="D4" s="5">
        <f>ROUND(C4*$D$325/$C$325,0)</f>
        <v/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idden="1" outlineLevel="2" ht="12.75" customHeight="1" s="156">
      <c r="A5" s="3" t="inlineStr">
        <is>
          <t>Buenos Aires</t>
        </is>
      </c>
      <c r="B5" s="3" t="inlineStr">
        <is>
          <t>Avícolas</t>
        </is>
      </c>
      <c r="C5" s="5" t="n">
        <v>2</v>
      </c>
      <c r="D5" s="5">
        <f>ROUND(C5*$D$325/$C$325,0)</f>
        <v/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idden="1" outlineLevel="2" ht="12.75" customHeight="1" s="156">
      <c r="A6" s="3" t="inlineStr">
        <is>
          <t>Buenos Aires</t>
        </is>
      </c>
      <c r="B6" s="3" t="inlineStr">
        <is>
          <t>de Agua</t>
        </is>
      </c>
      <c r="C6" s="5" t="n">
        <v>23</v>
      </c>
      <c r="D6" s="5">
        <f>ROUND(C6*$D$325/$C$325,0)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idden="1" outlineLevel="2" ht="12.75" customHeight="1" s="156">
      <c r="A7" s="3" t="inlineStr">
        <is>
          <t>Buenos Aires</t>
        </is>
      </c>
      <c r="B7" s="3" t="inlineStr">
        <is>
          <t>de Asistencia Social</t>
        </is>
      </c>
      <c r="C7" s="5" t="n">
        <v>1</v>
      </c>
      <c r="D7" s="5">
        <f>ROUND(C7*$D$325/$C$325,0)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 hidden="1" outlineLevel="2" ht="12.75" customHeight="1" s="156">
      <c r="A8" s="3" t="inlineStr">
        <is>
          <t>Buenos Aires</t>
        </is>
      </c>
      <c r="B8" s="3" t="inlineStr">
        <is>
          <t>de Bomberos</t>
        </is>
      </c>
      <c r="C8" s="5" t="n">
        <v>1</v>
      </c>
      <c r="D8" s="5">
        <f>ROUND(C8*$D$325/$C$325,0)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idden="1" outlineLevel="2" ht="12.75" customHeight="1" s="156">
      <c r="A9" s="3" t="inlineStr">
        <is>
          <t>Buenos Aires</t>
        </is>
      </c>
      <c r="B9" s="3" t="inlineStr">
        <is>
          <t>de Carniceros</t>
        </is>
      </c>
      <c r="C9" s="5" t="n">
        <v>2</v>
      </c>
      <c r="D9" s="5">
        <f>ROUND(C9*$D$325/$C$325,0)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 hidden="1" outlineLevel="2" ht="12.75" customHeight="1" s="156">
      <c r="A10" s="3" t="inlineStr">
        <is>
          <t>Buenos Aires</t>
        </is>
      </c>
      <c r="B10" s="3" t="inlineStr">
        <is>
          <t>de Comercio</t>
        </is>
      </c>
      <c r="C10" s="5" t="n">
        <v>1</v>
      </c>
      <c r="D10" s="5">
        <f>ROUND(C10*$D$325/$C$325,0)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idden="1" outlineLevel="2" ht="12.75" customHeight="1" s="156">
      <c r="A11" s="3" t="inlineStr">
        <is>
          <t>Buenos Aires</t>
        </is>
      </c>
      <c r="B11" s="3" t="inlineStr">
        <is>
          <t>de Consumo</t>
        </is>
      </c>
      <c r="C11" s="5" t="n">
        <v>56</v>
      </c>
      <c r="D11" s="5">
        <f>ROUND(C11*$D$325/$C$325,0)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 hidden="1" outlineLevel="2" ht="12.75" customHeight="1" s="156">
      <c r="A12" s="3" t="inlineStr">
        <is>
          <t>Buenos Aires</t>
        </is>
      </c>
      <c r="B12" s="3" t="inlineStr">
        <is>
          <t>de Escolares/Jardines</t>
        </is>
      </c>
      <c r="C12" s="5" t="n">
        <v>5</v>
      </c>
      <c r="D12" s="5">
        <f>ROUND(C12*$D$325/$C$325,0)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idden="1" outlineLevel="2" ht="12.75" customHeight="1" s="156">
      <c r="A13" s="3" t="inlineStr">
        <is>
          <t>Buenos Aires</t>
        </is>
      </c>
      <c r="B13" s="3" t="inlineStr">
        <is>
          <t>de Fletes/Remis/Taxis</t>
        </is>
      </c>
      <c r="C13" s="5" t="n">
        <v>9</v>
      </c>
      <c r="D13" s="5">
        <f>ROUND(C13*$D$325/$C$325,0)</f>
        <v/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 hidden="1" outlineLevel="2" ht="12.75" customHeight="1" s="156">
      <c r="A14" s="3" t="inlineStr">
        <is>
          <t>Buenos Aires</t>
        </is>
      </c>
      <c r="B14" s="3" t="inlineStr">
        <is>
          <t>de Gas</t>
        </is>
      </c>
      <c r="C14" s="5" t="n">
        <v>1</v>
      </c>
      <c r="D14" s="5">
        <f>ROUND(C14*$D$325/$C$325,0)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idden="1" outlineLevel="2" ht="12.75" customHeight="1" s="156">
      <c r="A15" s="3" t="inlineStr">
        <is>
          <t>Buenos Aires</t>
        </is>
      </c>
      <c r="B15" s="3" t="inlineStr">
        <is>
          <t>de Policía</t>
        </is>
      </c>
      <c r="C15" s="5" t="n">
        <v>1</v>
      </c>
      <c r="D15" s="5">
        <f>ROUND(C15*$D$325/$C$325,0)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 hidden="1" outlineLevel="2" ht="12.75" customHeight="1" s="156">
      <c r="A16" s="3" t="inlineStr">
        <is>
          <t>Buenos Aires</t>
        </is>
      </c>
      <c r="B16" s="3" t="inlineStr">
        <is>
          <t>de Provisión</t>
        </is>
      </c>
      <c r="C16" s="5" t="n">
        <v>52</v>
      </c>
      <c r="D16" s="5">
        <f>ROUND(C16*$D$325/$C$325,0)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idden="1" outlineLevel="2" ht="12.75" customHeight="1" s="156">
      <c r="A17" s="3" t="inlineStr">
        <is>
          <t>Buenos Aires</t>
        </is>
      </c>
      <c r="B17" s="3" t="inlineStr">
        <is>
          <t>de Salud: Farmacéuticas</t>
        </is>
      </c>
      <c r="C17" s="5" t="n">
        <v>1</v>
      </c>
      <c r="D17" s="5">
        <f>ROUND(C17*$D$325/$C$325,0)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 hidden="1" outlineLevel="2" ht="12.75" customHeight="1" s="156">
      <c r="A18" s="3" t="inlineStr">
        <is>
          <t>Buenos Aires</t>
        </is>
      </c>
      <c r="B18" s="3" t="inlineStr">
        <is>
          <t>de Salud: Medicina</t>
        </is>
      </c>
      <c r="C18" s="5" t="n">
        <v>2</v>
      </c>
      <c r="D18" s="5">
        <f>ROUND(C18*$D$325/$C$325,0)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idden="1" outlineLevel="2" ht="12.75" customHeight="1" s="156">
      <c r="A19" s="3" t="inlineStr">
        <is>
          <t>Buenos Aires</t>
        </is>
      </c>
      <c r="B19" s="3" t="inlineStr">
        <is>
          <t>de Salud: Salud</t>
        </is>
      </c>
      <c r="C19" s="5" t="n">
        <v>2</v>
      </c>
      <c r="D19" s="5">
        <f>ROUND(C19*$D$325/$C$325,0)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 hidden="1" outlineLevel="2" ht="12.75" customHeight="1" s="156">
      <c r="A20" s="3" t="inlineStr">
        <is>
          <t>Buenos Aires</t>
        </is>
      </c>
      <c r="B20" s="3" t="inlineStr">
        <is>
          <t>de Seguros</t>
        </is>
      </c>
      <c r="C20" s="5" t="n">
        <v>9</v>
      </c>
      <c r="D20" s="5">
        <f>ROUND(C20*$D$325/$C$325,0)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idden="1" outlineLevel="2" ht="12.75" customHeight="1" s="156">
      <c r="A21" s="3" t="inlineStr">
        <is>
          <t>Buenos Aires</t>
        </is>
      </c>
      <c r="B21" s="3" t="inlineStr">
        <is>
          <t>de Servicios Públicos</t>
        </is>
      </c>
      <c r="C21" s="5" t="n">
        <v>36</v>
      </c>
      <c r="D21" s="5">
        <f>ROUND(C21*$D$325/$C$325,0)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 hidden="1" outlineLevel="2" ht="12.75" customHeight="1" s="156">
      <c r="A22" s="3" t="inlineStr">
        <is>
          <t>Buenos Aires</t>
        </is>
      </c>
      <c r="B22" s="3" t="inlineStr">
        <is>
          <t>de Trabajo</t>
        </is>
      </c>
      <c r="C22" s="5" t="n">
        <v>105</v>
      </c>
      <c r="D22" s="5">
        <f>ROUND(C22*$D$325/$C$325,0)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idden="1" outlineLevel="2" ht="12.75" customHeight="1" s="156">
      <c r="A23" s="3" t="inlineStr">
        <is>
          <t>Buenos Aires</t>
        </is>
      </c>
      <c r="B23" s="3" t="inlineStr">
        <is>
          <t>de Transporte</t>
        </is>
      </c>
      <c r="C23" s="5" t="n">
        <v>26</v>
      </c>
      <c r="D23" s="5">
        <f>ROUND(C23*$D$325/$C$325,0)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 hidden="1" outlineLevel="2" ht="12.75" customHeight="1" s="156">
      <c r="A24" s="3" t="inlineStr">
        <is>
          <t>Buenos Aires</t>
        </is>
      </c>
      <c r="B24" s="3" t="inlineStr">
        <is>
          <t>de Vivienda</t>
        </is>
      </c>
      <c r="C24" s="5" t="n">
        <v>47</v>
      </c>
      <c r="D24" s="5">
        <f>ROUND(C24*$D$325/$C$325,0)</f>
        <v/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idden="1" outlineLevel="2" ht="12.75" customHeight="1" s="156">
      <c r="A25" s="3" t="inlineStr">
        <is>
          <t>Buenos Aires</t>
        </is>
      </c>
      <c r="B25" s="3" t="inlineStr">
        <is>
          <t>Educación</t>
        </is>
      </c>
      <c r="C25" s="5" t="n">
        <v>1</v>
      </c>
      <c r="D25" s="5">
        <f>ROUND(C25*$D$325/$C$325,0)</f>
        <v/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 hidden="1" outlineLevel="2" ht="12.75" customHeight="1" s="156">
      <c r="A26" s="3" t="inlineStr">
        <is>
          <t>Buenos Aires</t>
        </is>
      </c>
      <c r="B26" s="3" t="inlineStr">
        <is>
          <t>Eléctricas</t>
        </is>
      </c>
      <c r="C26" s="5" t="n">
        <v>191</v>
      </c>
      <c r="D26" s="5">
        <f>ROUND(C26*$D$325/$C$325,0)</f>
        <v/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idden="1" outlineLevel="2" ht="12.75" customHeight="1" s="156">
      <c r="A27" s="3" t="inlineStr">
        <is>
          <t>Buenos Aires</t>
        </is>
      </c>
      <c r="B27" s="3" t="inlineStr">
        <is>
          <t>Floricultoras</t>
        </is>
      </c>
      <c r="C27" s="5" t="n">
        <v>2</v>
      </c>
      <c r="D27" s="5">
        <f>ROUND(C27*$D$325/$C$325,0)</f>
        <v/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 hidden="1" outlineLevel="2" ht="12.75" customHeight="1" s="156">
      <c r="A28" s="3" t="inlineStr">
        <is>
          <t>Buenos Aires</t>
        </is>
      </c>
      <c r="B28" s="3" t="inlineStr">
        <is>
          <t>Frutihortícolas</t>
        </is>
      </c>
      <c r="C28" s="5" t="n">
        <v>4</v>
      </c>
      <c r="D28" s="5">
        <f>ROUND(C28*$D$325/$C$325,0)</f>
        <v/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idden="1" outlineLevel="2" ht="12.75" customHeight="1" s="156">
      <c r="A29" s="3" t="inlineStr">
        <is>
          <t>Buenos Aires</t>
        </is>
      </c>
      <c r="B29" s="3" t="inlineStr">
        <is>
          <t>Ganaderas</t>
        </is>
      </c>
      <c r="C29" s="5" t="n">
        <v>23</v>
      </c>
      <c r="D29" s="5">
        <f>ROUND(C29*$D$325/$C$325,0)</f>
        <v/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 hidden="1" outlineLevel="2" ht="12.75" customHeight="1" s="156">
      <c r="A30" s="3" t="inlineStr">
        <is>
          <t>Buenos Aires</t>
        </is>
      </c>
      <c r="B30" s="3" t="inlineStr">
        <is>
          <t>Telefónicas</t>
        </is>
      </c>
      <c r="C30" s="5" t="n">
        <v>24</v>
      </c>
      <c r="D30" s="5">
        <f>ROUND(C30*$D$325/$C$325,0)</f>
        <v/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idden="1" outlineLevel="2" ht="12.75" customHeight="1" s="156">
      <c r="A31" s="3" t="inlineStr">
        <is>
          <t>Buenos Aires</t>
        </is>
      </c>
      <c r="B31" s="3" t="inlineStr">
        <is>
          <t>Textiles</t>
        </is>
      </c>
      <c r="C31" s="5" t="n">
        <v>2</v>
      </c>
      <c r="D31" s="5">
        <f>ROUND(C31*$D$325/$C$325,0)</f>
        <v/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 hidden="1" outlineLevel="1" ht="12.75" customHeight="1" s="156">
      <c r="A32" s="10" t="inlineStr">
        <is>
          <t>Total Buenos Aires</t>
        </is>
      </c>
      <c r="B32" s="3" t="n"/>
      <c r="C32" s="5" t="n"/>
      <c r="D32" s="5">
        <f>SUBTOTAL(9,D2:D31)</f>
        <v/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 hidden="1" outlineLevel="2" ht="12.75" customHeight="1" s="156">
      <c r="A33" s="3" t="inlineStr">
        <is>
          <t>Capital</t>
        </is>
      </c>
      <c r="B33" s="3" t="inlineStr">
        <is>
          <t>Agropecuarias</t>
        </is>
      </c>
      <c r="C33" s="5" t="n">
        <v>1</v>
      </c>
      <c r="D33" s="5">
        <f>ROUND(C33*$D$325/$C$325,0)</f>
        <v/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 hidden="1" outlineLevel="2" ht="12.75" customHeight="1" s="156">
      <c r="A34" s="3" t="inlineStr">
        <is>
          <t>Capital</t>
        </is>
      </c>
      <c r="B34" s="3" t="inlineStr">
        <is>
          <t>Ahorro/Crédito/Emprend</t>
        </is>
      </c>
      <c r="C34" s="5" t="n">
        <v>23</v>
      </c>
      <c r="D34" s="5">
        <f>ROUND(C34*$D$325/$C$325,0)</f>
        <v/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 hidden="1" outlineLevel="2" ht="12.75" customHeight="1" s="156">
      <c r="A35" s="3" t="inlineStr">
        <is>
          <t>Capital</t>
        </is>
      </c>
      <c r="B35" s="3" t="inlineStr">
        <is>
          <t>de Asistencia Social</t>
        </is>
      </c>
      <c r="C35" s="5" t="n">
        <v>1</v>
      </c>
      <c r="D35" s="5">
        <f>ROUND(C35*$D$325/$C$325,0)</f>
        <v/>
      </c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 hidden="1" outlineLevel="2" ht="12.75" customHeight="1" s="156">
      <c r="A36" s="3" t="inlineStr">
        <is>
          <t>Capital</t>
        </is>
      </c>
      <c r="B36" s="3" t="inlineStr">
        <is>
          <t>de Consumo</t>
        </is>
      </c>
      <c r="C36" s="5" t="n">
        <v>31</v>
      </c>
      <c r="D36" s="5">
        <f>ROUND(C36*$D$325/$C$325,0)</f>
        <v/>
      </c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 hidden="1" outlineLevel="2" ht="12.75" customHeight="1" s="156">
      <c r="A37" s="3" t="inlineStr">
        <is>
          <t>Capital</t>
        </is>
      </c>
      <c r="B37" s="3" t="inlineStr">
        <is>
          <t>de Fletes/Remis/Taxis</t>
        </is>
      </c>
      <c r="C37" s="5" t="n">
        <v>5</v>
      </c>
      <c r="D37" s="5">
        <f>ROUND(C37*$D$325/$C$325,0)</f>
        <v/>
      </c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 hidden="1" outlineLevel="2" ht="12.75" customHeight="1" s="156">
      <c r="A38" s="3" t="inlineStr">
        <is>
          <t>Capital</t>
        </is>
      </c>
      <c r="B38" s="3" t="inlineStr">
        <is>
          <t>de Provisión</t>
        </is>
      </c>
      <c r="C38" s="5" t="n">
        <v>3</v>
      </c>
      <c r="D38" s="5">
        <f>ROUND(C38*$D$325/$C$325,0)</f>
        <v/>
      </c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 hidden="1" outlineLevel="2" ht="12.75" customHeight="1" s="156">
      <c r="A39" s="3" t="inlineStr">
        <is>
          <t>Capital</t>
        </is>
      </c>
      <c r="B39" s="3" t="inlineStr">
        <is>
          <t>de Salud: Medicina</t>
        </is>
      </c>
      <c r="C39" s="5" t="n">
        <v>2</v>
      </c>
      <c r="D39" s="5">
        <f>ROUND(C39*$D$325/$C$325,0)</f>
        <v/>
      </c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 hidden="1" outlineLevel="2" ht="12.75" customHeight="1" s="156">
      <c r="A40" s="3" t="inlineStr">
        <is>
          <t>Capital</t>
        </is>
      </c>
      <c r="B40" s="3" t="inlineStr">
        <is>
          <t>de Salud: Salud</t>
        </is>
      </c>
      <c r="C40" s="5" t="n">
        <v>2</v>
      </c>
      <c r="D40" s="5">
        <f>ROUND(C40*$D$325/$C$325,0)</f>
        <v/>
      </c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 hidden="1" outlineLevel="2" ht="12.75" customHeight="1" s="156">
      <c r="A41" s="3" t="inlineStr">
        <is>
          <t>Capital</t>
        </is>
      </c>
      <c r="B41" s="3" t="inlineStr">
        <is>
          <t>de Seguros</t>
        </is>
      </c>
      <c r="C41" s="5" t="n">
        <v>3</v>
      </c>
      <c r="D41" s="5">
        <f>ROUND(C41*$D$325/$C$325,0)</f>
        <v/>
      </c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 hidden="1" outlineLevel="2" ht="12.75" customHeight="1" s="156">
      <c r="A42" s="3" t="inlineStr">
        <is>
          <t>Capital</t>
        </is>
      </c>
      <c r="B42" s="3" t="inlineStr">
        <is>
          <t>de Servicios Públicos</t>
        </is>
      </c>
      <c r="C42" s="5" t="n">
        <v>2</v>
      </c>
      <c r="D42" s="5">
        <f>ROUND(C42*$D$325/$C$325,0)</f>
        <v/>
      </c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 hidden="1" outlineLevel="2" ht="12.75" customHeight="1" s="156">
      <c r="A43" s="3" t="inlineStr">
        <is>
          <t>Capital</t>
        </is>
      </c>
      <c r="B43" s="3" t="inlineStr">
        <is>
          <t>de Trabajo</t>
        </is>
      </c>
      <c r="C43" s="5" t="n">
        <v>22</v>
      </c>
      <c r="D43" s="5">
        <f>ROUND(C43*$D$325/$C$325,0)</f>
        <v/>
      </c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 hidden="1" outlineLevel="2" ht="12.75" customHeight="1" s="156">
      <c r="A44" s="3" t="inlineStr">
        <is>
          <t>Capital</t>
        </is>
      </c>
      <c r="B44" s="3" t="inlineStr">
        <is>
          <t>de Transporte</t>
        </is>
      </c>
      <c r="C44" s="5" t="n">
        <v>4</v>
      </c>
      <c r="D44" s="5">
        <f>ROUND(C44*$D$325/$C$325,0)</f>
        <v/>
      </c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 hidden="1" outlineLevel="2" ht="12.75" customHeight="1" s="156">
      <c r="A45" s="3" t="inlineStr">
        <is>
          <t>Capital</t>
        </is>
      </c>
      <c r="B45" s="3" t="inlineStr">
        <is>
          <t>de Vivienda</t>
        </is>
      </c>
      <c r="C45" s="5" t="n">
        <v>46</v>
      </c>
      <c r="D45" s="5">
        <f>ROUND(C45*$D$325/$C$325,0)</f>
        <v/>
      </c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 hidden="1" outlineLevel="2" ht="12.75" customHeight="1" s="156">
      <c r="A46" s="3" t="inlineStr">
        <is>
          <t>Capital</t>
        </is>
      </c>
      <c r="B46" s="3" t="inlineStr">
        <is>
          <t>Eléctricas</t>
        </is>
      </c>
      <c r="C46" s="5" t="n">
        <v>1</v>
      </c>
      <c r="D46" s="5">
        <f>ROUND(C46*$D$325/$C$325,0)</f>
        <v/>
      </c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 hidden="1" outlineLevel="2" ht="12.75" customHeight="1" s="156">
      <c r="A47" s="3" t="inlineStr">
        <is>
          <t>Capital</t>
        </is>
      </c>
      <c r="B47" s="3" t="inlineStr">
        <is>
          <t>Floricultoras</t>
        </is>
      </c>
      <c r="C47" s="5" t="n">
        <v>1</v>
      </c>
      <c r="D47" s="5">
        <f>ROUND(C47*$D$325/$C$325,0)</f>
        <v/>
      </c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 hidden="1" outlineLevel="1" ht="12.75" customHeight="1" s="156">
      <c r="A48" s="10" t="inlineStr">
        <is>
          <t>Total Capital</t>
        </is>
      </c>
      <c r="B48" s="3" t="n"/>
      <c r="C48" s="5" t="n"/>
      <c r="D48" s="5">
        <f>SUBTOTAL(9,D33:D47)</f>
        <v/>
      </c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 hidden="1" outlineLevel="2" ht="12.75" customHeight="1" s="156">
      <c r="A49" s="3" t="inlineStr">
        <is>
          <t>Catamarca</t>
        </is>
      </c>
      <c r="B49" s="3" t="inlineStr">
        <is>
          <t>Agropecuarias</t>
        </is>
      </c>
      <c r="C49" s="5" t="n">
        <v>1</v>
      </c>
      <c r="D49" s="5">
        <f>ROUND(C49*$D$325/$C$325,0)</f>
        <v/>
      </c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 hidden="1" outlineLevel="2" ht="12.75" customHeight="1" s="156">
      <c r="A50" s="3" t="inlineStr">
        <is>
          <t>Catamarca</t>
        </is>
      </c>
      <c r="B50" s="3" t="inlineStr">
        <is>
          <t>de Transporte</t>
        </is>
      </c>
      <c r="C50" s="5" t="n">
        <v>1</v>
      </c>
      <c r="D50" s="5">
        <f>ROUND(C50*$D$325/$C$325,0)</f>
        <v/>
      </c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 hidden="1" outlineLevel="2" ht="12.75" customHeight="1" s="156">
      <c r="A51" s="3" t="inlineStr">
        <is>
          <t>Catamarca</t>
        </is>
      </c>
      <c r="B51" s="3" t="inlineStr">
        <is>
          <t>Ganaderas</t>
        </is>
      </c>
      <c r="C51" s="5" t="n">
        <v>1</v>
      </c>
      <c r="D51" s="5">
        <f>ROUND(C51*$D$325/$C$325,0)</f>
        <v/>
      </c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 hidden="1" outlineLevel="2" ht="12.75" customHeight="1" s="156">
      <c r="A52" s="3" t="inlineStr">
        <is>
          <t>Catamarca</t>
        </is>
      </c>
      <c r="B52" s="3" t="inlineStr">
        <is>
          <t>Telefónicas</t>
        </is>
      </c>
      <c r="C52" s="5" t="n">
        <v>1</v>
      </c>
      <c r="D52" s="5">
        <f>ROUND(C52*$D$325/$C$325,0)</f>
        <v/>
      </c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 hidden="1" outlineLevel="1" ht="12.75" customHeight="1" s="156">
      <c r="A53" s="10" t="inlineStr">
        <is>
          <t>Total Catamarca</t>
        </is>
      </c>
      <c r="B53" s="3" t="n"/>
      <c r="C53" s="5" t="n"/>
      <c r="D53" s="5">
        <f>SUBTOTAL(9,D49:D52)</f>
        <v/>
      </c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 hidden="1" outlineLevel="2" ht="12.75" customHeight="1" s="156">
      <c r="A54" s="3" t="inlineStr">
        <is>
          <t>Córdoba</t>
        </is>
      </c>
      <c r="B54" s="3" t="inlineStr">
        <is>
          <t>Agropecuarias</t>
        </is>
      </c>
      <c r="C54" s="5" t="n">
        <v>59</v>
      </c>
      <c r="D54" s="5">
        <f>ROUND(C54*$D$325/$C$325,0)</f>
        <v/>
      </c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 hidden="1" outlineLevel="2" ht="12.75" customHeight="1" s="156">
      <c r="A55" s="3" t="inlineStr">
        <is>
          <t>Córdoba</t>
        </is>
      </c>
      <c r="B55" s="3" t="inlineStr">
        <is>
          <t>Ahorro/Crédito/Emprend</t>
        </is>
      </c>
      <c r="C55" s="5" t="n">
        <v>6</v>
      </c>
      <c r="D55" s="5">
        <f>ROUND(C55*$D$325/$C$325,0)</f>
        <v/>
      </c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 hidden="1" outlineLevel="2" ht="12.75" customHeight="1" s="156">
      <c r="A56" s="3" t="inlineStr">
        <is>
          <t>Córdoba</t>
        </is>
      </c>
      <c r="B56" s="3" t="inlineStr">
        <is>
          <t>de Agua</t>
        </is>
      </c>
      <c r="C56" s="5" t="n">
        <v>24</v>
      </c>
      <c r="D56" s="5">
        <f>ROUND(C56*$D$325/$C$325,0)</f>
        <v/>
      </c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 hidden="1" outlineLevel="2" ht="12.75" customHeight="1" s="156">
      <c r="A57" s="3" t="inlineStr">
        <is>
          <t>Córdoba</t>
        </is>
      </c>
      <c r="B57" s="3" t="inlineStr">
        <is>
          <t>de Asistencia Social</t>
        </is>
      </c>
      <c r="C57" s="5" t="n">
        <v>1</v>
      </c>
      <c r="D57" s="5">
        <f>ROUND(C57*$D$325/$C$325,0)</f>
        <v/>
      </c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 hidden="1" outlineLevel="2" ht="12.75" customHeight="1" s="156">
      <c r="A58" s="3" t="inlineStr">
        <is>
          <t>Córdoba</t>
        </is>
      </c>
      <c r="B58" s="3" t="inlineStr">
        <is>
          <t>de Consumo</t>
        </is>
      </c>
      <c r="C58" s="5" t="n">
        <v>31</v>
      </c>
      <c r="D58" s="5">
        <f>ROUND(C58*$D$325/$C$325,0)</f>
        <v/>
      </c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 hidden="1" outlineLevel="2" ht="12.75" customHeight="1" s="156">
      <c r="A59" s="3" t="inlineStr">
        <is>
          <t>Córdoba</t>
        </is>
      </c>
      <c r="B59" s="3" t="inlineStr">
        <is>
          <t>de Escolares/Jardines</t>
        </is>
      </c>
      <c r="C59" s="5" t="n">
        <v>3</v>
      </c>
      <c r="D59" s="5">
        <f>ROUND(C59*$D$325/$C$325,0)</f>
        <v/>
      </c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 hidden="1" outlineLevel="2" ht="12.75" customHeight="1" s="156">
      <c r="A60" s="3" t="inlineStr">
        <is>
          <t>Córdoba</t>
        </is>
      </c>
      <c r="B60" s="3" t="inlineStr">
        <is>
          <t>de Fletes/Remis/Taxis</t>
        </is>
      </c>
      <c r="C60" s="5" t="n">
        <v>1</v>
      </c>
      <c r="D60" s="5">
        <f>ROUND(C60*$D$325/$C$325,0)</f>
        <v/>
      </c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 hidden="1" outlineLevel="2" ht="12.75" customHeight="1" s="156">
      <c r="A61" s="3" t="inlineStr">
        <is>
          <t>Córdoba</t>
        </is>
      </c>
      <c r="B61" s="3" t="inlineStr">
        <is>
          <t>de Gas</t>
        </is>
      </c>
      <c r="C61" s="5" t="n">
        <v>1</v>
      </c>
      <c r="D61" s="5">
        <f>ROUND(C61*$D$325/$C$325,0)</f>
        <v/>
      </c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 hidden="1" outlineLevel="2" ht="12.75" customHeight="1" s="156">
      <c r="A62" s="3" t="inlineStr">
        <is>
          <t>Córdoba</t>
        </is>
      </c>
      <c r="B62" s="3" t="inlineStr">
        <is>
          <t>de Policía</t>
        </is>
      </c>
      <c r="C62" s="5" t="n">
        <v>1</v>
      </c>
      <c r="D62" s="5">
        <f>ROUND(C62*$D$325/$C$325,0)</f>
        <v/>
      </c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 hidden="1" outlineLevel="2" ht="12.75" customHeight="1" s="156">
      <c r="A63" s="3" t="inlineStr">
        <is>
          <t>Córdoba</t>
        </is>
      </c>
      <c r="B63" s="3" t="inlineStr">
        <is>
          <t>de Provisión</t>
        </is>
      </c>
      <c r="C63" s="5" t="n">
        <v>19</v>
      </c>
      <c r="D63" s="5">
        <f>ROUND(C63*$D$325/$C$325,0)</f>
        <v/>
      </c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 hidden="1" outlineLevel="2" ht="12.75" customHeight="1" s="156">
      <c r="A64" s="3" t="inlineStr">
        <is>
          <t>Córdoba</t>
        </is>
      </c>
      <c r="B64" s="3" t="inlineStr">
        <is>
          <t>de Salud: Bioquímicas</t>
        </is>
      </c>
      <c r="C64" s="5" t="n">
        <v>1</v>
      </c>
      <c r="D64" s="5">
        <f>ROUND(C64*$D$325/$C$325,0)</f>
        <v/>
      </c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 hidden="1" outlineLevel="2" ht="12.75" customHeight="1" s="156">
      <c r="A65" s="3" t="inlineStr">
        <is>
          <t>Córdoba</t>
        </is>
      </c>
      <c r="B65" s="3" t="inlineStr">
        <is>
          <t>de Salud: Medicina</t>
        </is>
      </c>
      <c r="C65" s="5" t="n">
        <v>3</v>
      </c>
      <c r="D65" s="5">
        <f>ROUND(C65*$D$325/$C$325,0)</f>
        <v/>
      </c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 hidden="1" outlineLevel="2" ht="12.75" customHeight="1" s="156">
      <c r="A66" s="3" t="inlineStr">
        <is>
          <t>Córdoba</t>
        </is>
      </c>
      <c r="B66" s="3" t="inlineStr">
        <is>
          <t>de Seguros</t>
        </is>
      </c>
      <c r="C66" s="5" t="n">
        <v>2</v>
      </c>
      <c r="D66" s="5">
        <f>ROUND(C66*$D$325/$C$325,0)</f>
        <v/>
      </c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 hidden="1" outlineLevel="2" ht="12.75" customHeight="1" s="156">
      <c r="A67" s="3" t="inlineStr">
        <is>
          <t>Córdoba</t>
        </is>
      </c>
      <c r="B67" s="3" t="inlineStr">
        <is>
          <t>de Servicios Públicos</t>
        </is>
      </c>
      <c r="C67" s="5" t="n">
        <v>82</v>
      </c>
      <c r="D67" s="5">
        <f>ROUND(C67*$D$325/$C$325,0)</f>
        <v/>
      </c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 hidden="1" outlineLevel="2" ht="12.75" customHeight="1" s="156">
      <c r="A68" s="3" t="inlineStr">
        <is>
          <t>Córdoba</t>
        </is>
      </c>
      <c r="B68" s="3" t="inlineStr">
        <is>
          <t>de Trabajo</t>
        </is>
      </c>
      <c r="C68" s="5" t="n">
        <v>54</v>
      </c>
      <c r="D68" s="5">
        <f>ROUND(C68*$D$325/$C$325,0)</f>
        <v/>
      </c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 hidden="1" outlineLevel="2" ht="12.75" customHeight="1" s="156">
      <c r="A69" s="3" t="inlineStr">
        <is>
          <t>Córdoba</t>
        </is>
      </c>
      <c r="B69" s="3" t="inlineStr">
        <is>
          <t>de Transporte</t>
        </is>
      </c>
      <c r="C69" s="5" t="n">
        <v>13</v>
      </c>
      <c r="D69" s="5">
        <f>ROUND(C69*$D$325/$C$325,0)</f>
        <v/>
      </c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 hidden="1" outlineLevel="2" ht="12.75" customHeight="1" s="156">
      <c r="A70" s="3" t="inlineStr">
        <is>
          <t>Córdoba</t>
        </is>
      </c>
      <c r="B70" s="3" t="inlineStr">
        <is>
          <t>de Vivienda</t>
        </is>
      </c>
      <c r="C70" s="5" t="n">
        <v>35</v>
      </c>
      <c r="D70" s="5">
        <f>ROUND(C70*$D$325/$C$325,0)</f>
        <v/>
      </c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 hidden="1" outlineLevel="2" ht="12.75" customHeight="1" s="156">
      <c r="A71" s="3" t="inlineStr">
        <is>
          <t>Córdoba</t>
        </is>
      </c>
      <c r="B71" s="3" t="inlineStr">
        <is>
          <t>Educación</t>
        </is>
      </c>
      <c r="C71" s="5" t="n">
        <v>7</v>
      </c>
      <c r="D71" s="5">
        <f>ROUND(C71*$D$325/$C$325,0)</f>
        <v/>
      </c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 hidden="1" outlineLevel="2" ht="12.75" customHeight="1" s="156">
      <c r="A72" s="3" t="inlineStr">
        <is>
          <t>Córdoba</t>
        </is>
      </c>
      <c r="B72" s="3" t="inlineStr">
        <is>
          <t>Eléctricas</t>
        </is>
      </c>
      <c r="C72" s="5" t="n">
        <v>144</v>
      </c>
      <c r="D72" s="5">
        <f>ROUND(C72*$D$325/$C$325,0)</f>
        <v/>
      </c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 hidden="1" outlineLevel="2" ht="12.75" customHeight="1" s="156">
      <c r="A73" s="3" t="inlineStr">
        <is>
          <t>Córdoba</t>
        </is>
      </c>
      <c r="B73" s="3" t="inlineStr">
        <is>
          <t>Frutihortícolas</t>
        </is>
      </c>
      <c r="C73" s="5" t="n">
        <v>1</v>
      </c>
      <c r="D73" s="5">
        <f>ROUND(C73*$D$325/$C$325,0)</f>
        <v/>
      </c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 hidden="1" outlineLevel="2" ht="12.75" customHeight="1" s="156">
      <c r="A74" s="3" t="inlineStr">
        <is>
          <t>Córdoba</t>
        </is>
      </c>
      <c r="B74" s="3" t="inlineStr">
        <is>
          <t>Ganaderas</t>
        </is>
      </c>
      <c r="C74" s="5" t="n">
        <v>75</v>
      </c>
      <c r="D74" s="5">
        <f>ROUND(C74*$D$325/$C$325,0)</f>
        <v/>
      </c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 hidden="1" outlineLevel="2" ht="12.75" customHeight="1" s="156">
      <c r="A75" s="3" t="inlineStr">
        <is>
          <t>Córdoba</t>
        </is>
      </c>
      <c r="B75" s="3" t="inlineStr">
        <is>
          <t>Panificadoras</t>
        </is>
      </c>
      <c r="C75" s="5" t="n">
        <v>1</v>
      </c>
      <c r="D75" s="5">
        <f>ROUND(C75*$D$325/$C$325,0)</f>
        <v/>
      </c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 hidden="1" outlineLevel="2" ht="12.75" customHeight="1" s="156">
      <c r="A76" s="3" t="inlineStr">
        <is>
          <t>Córdoba</t>
        </is>
      </c>
      <c r="B76" s="3" t="inlineStr">
        <is>
          <t>Telefónicas</t>
        </is>
      </c>
      <c r="C76" s="5" t="n">
        <v>7</v>
      </c>
      <c r="D76" s="5">
        <f>ROUND(C76*$D$325/$C$325,0)</f>
        <v/>
      </c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 hidden="1" outlineLevel="2" ht="12.75" customHeight="1" s="156">
      <c r="A77" s="3" t="inlineStr">
        <is>
          <t>Córdoba</t>
        </is>
      </c>
      <c r="B77" s="3" t="inlineStr">
        <is>
          <t>Vitivinícola</t>
        </is>
      </c>
      <c r="C77" s="5" t="n">
        <v>1</v>
      </c>
      <c r="D77" s="5">
        <f>ROUND(C77*$D$325/$C$325,0)</f>
        <v/>
      </c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 hidden="1" outlineLevel="1" ht="12.75" customHeight="1" s="156">
      <c r="A78" s="10" t="inlineStr">
        <is>
          <t>Total Córdoba</t>
        </is>
      </c>
      <c r="B78" s="3" t="n"/>
      <c r="C78" s="5" t="n"/>
      <c r="D78" s="5">
        <f>SUBTOTAL(9,D54:D77)</f>
        <v/>
      </c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 hidden="1" outlineLevel="2" ht="12.75" customHeight="1" s="156">
      <c r="A79" s="3" t="inlineStr">
        <is>
          <t>Corrientes</t>
        </is>
      </c>
      <c r="B79" s="3" t="inlineStr">
        <is>
          <t>Agropecuarias</t>
        </is>
      </c>
      <c r="C79" s="5" t="n">
        <v>8</v>
      </c>
      <c r="D79" s="5">
        <f>ROUND(C79*$D$325/$C$325,0)</f>
        <v/>
      </c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 hidden="1" outlineLevel="2" ht="12.75" customHeight="1" s="156">
      <c r="A80" s="3" t="inlineStr">
        <is>
          <t>Corrientes</t>
        </is>
      </c>
      <c r="B80" s="3" t="inlineStr">
        <is>
          <t>Arroceras</t>
        </is>
      </c>
      <c r="C80" s="5" t="n">
        <v>1</v>
      </c>
      <c r="D80" s="5">
        <f>ROUND(C80*$D$325/$C$325,0)</f>
        <v/>
      </c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 hidden="1" outlineLevel="2" ht="12.75" customHeight="1" s="156">
      <c r="A81" s="3" t="inlineStr">
        <is>
          <t>Corrientes</t>
        </is>
      </c>
      <c r="B81" s="3" t="inlineStr">
        <is>
          <t>de Consumo</t>
        </is>
      </c>
      <c r="C81" s="5" t="n">
        <v>2</v>
      </c>
      <c r="D81" s="5">
        <f>ROUND(C81*$D$325/$C$325,0)</f>
        <v/>
      </c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 hidden="1" outlineLevel="2" ht="12.75" customHeight="1" s="156">
      <c r="A82" s="3" t="inlineStr">
        <is>
          <t>Corrientes</t>
        </is>
      </c>
      <c r="B82" s="3" t="inlineStr">
        <is>
          <t>de Fletes/Remis/Taxis</t>
        </is>
      </c>
      <c r="C82" s="5" t="n">
        <v>1</v>
      </c>
      <c r="D82" s="5">
        <f>ROUND(C82*$D$325/$C$325,0)</f>
        <v/>
      </c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 hidden="1" outlineLevel="2" ht="12.75" customHeight="1" s="156">
      <c r="A83" s="3" t="inlineStr">
        <is>
          <t>Corrientes</t>
        </is>
      </c>
      <c r="B83" s="3" t="inlineStr">
        <is>
          <t>de Salud: Farmacéuticas</t>
        </is>
      </c>
      <c r="C83" s="5" t="n">
        <v>1</v>
      </c>
      <c r="D83" s="5">
        <f>ROUND(C83*$D$325/$C$325,0)</f>
        <v/>
      </c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 hidden="1" outlineLevel="2" ht="12.75" customHeight="1" s="156">
      <c r="A84" s="3" t="inlineStr">
        <is>
          <t>Corrientes</t>
        </is>
      </c>
      <c r="B84" s="3" t="inlineStr">
        <is>
          <t>de Trabajo</t>
        </is>
      </c>
      <c r="C84" s="5" t="n">
        <v>3</v>
      </c>
      <c r="D84" s="5">
        <f>ROUND(C84*$D$325/$C$325,0)</f>
        <v/>
      </c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 hidden="1" outlineLevel="2" ht="12.75" customHeight="1" s="156">
      <c r="A85" s="3" t="inlineStr">
        <is>
          <t>Corrientes</t>
        </is>
      </c>
      <c r="B85" s="3" t="inlineStr">
        <is>
          <t>de Transporte</t>
        </is>
      </c>
      <c r="C85" s="5" t="n">
        <v>2</v>
      </c>
      <c r="D85" s="5">
        <f>ROUND(C85*$D$325/$C$325,0)</f>
        <v/>
      </c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 hidden="1" outlineLevel="2" ht="12.75" customHeight="1" s="156">
      <c r="A86" s="3" t="inlineStr">
        <is>
          <t>Corrientes</t>
        </is>
      </c>
      <c r="B86" s="3" t="inlineStr">
        <is>
          <t>Eléctricas</t>
        </is>
      </c>
      <c r="C86" s="5" t="n">
        <v>3</v>
      </c>
      <c r="D86" s="5">
        <f>ROUND(C86*$D$325/$C$325,0)</f>
        <v/>
      </c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 hidden="1" outlineLevel="2" ht="12.75" customHeight="1" s="156">
      <c r="A87" s="3" t="inlineStr">
        <is>
          <t>Corrientes</t>
        </is>
      </c>
      <c r="B87" s="3" t="inlineStr">
        <is>
          <t>Tabacalera</t>
        </is>
      </c>
      <c r="C87" s="5" t="n">
        <v>2</v>
      </c>
      <c r="D87" s="5">
        <f>ROUND(C87*$D$325/$C$325,0)</f>
        <v/>
      </c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 hidden="1" outlineLevel="1" ht="12.75" customHeight="1" s="156">
      <c r="A88" s="10" t="inlineStr">
        <is>
          <t>Total Corrientes</t>
        </is>
      </c>
      <c r="B88" s="3" t="n"/>
      <c r="C88" s="5" t="n"/>
      <c r="D88" s="5">
        <f>SUBTOTAL(9,D79:D87)</f>
        <v/>
      </c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 hidden="1" outlineLevel="2" ht="12.75" customHeight="1" s="156">
      <c r="A89" s="3" t="inlineStr">
        <is>
          <t>Chaco</t>
        </is>
      </c>
      <c r="B89" s="3" t="inlineStr">
        <is>
          <t>Agropecuarias</t>
        </is>
      </c>
      <c r="C89" s="5" t="n">
        <v>25</v>
      </c>
      <c r="D89" s="5">
        <f>ROUND(C89*$D$325/$C$325,0)</f>
        <v/>
      </c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 hidden="1" outlineLevel="2" ht="12.75" customHeight="1" s="156">
      <c r="A90" s="3" t="inlineStr">
        <is>
          <t>Chaco</t>
        </is>
      </c>
      <c r="B90" s="3" t="inlineStr">
        <is>
          <t>de Agua</t>
        </is>
      </c>
      <c r="C90" s="5" t="n">
        <v>3</v>
      </c>
      <c r="D90" s="5">
        <f>ROUND(C90*$D$325/$C$325,0)</f>
        <v/>
      </c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 hidden="1" outlineLevel="2" ht="12.75" customHeight="1" s="156">
      <c r="A91" s="3" t="inlineStr">
        <is>
          <t>Chaco</t>
        </is>
      </c>
      <c r="B91" s="3" t="inlineStr">
        <is>
          <t>de Consumo</t>
        </is>
      </c>
      <c r="C91" s="5" t="n">
        <v>5</v>
      </c>
      <c r="D91" s="5">
        <f>ROUND(C91*$D$325/$C$325,0)</f>
        <v/>
      </c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 hidden="1" outlineLevel="2" ht="12.75" customHeight="1" s="156">
      <c r="A92" s="3" t="inlineStr">
        <is>
          <t>Chaco</t>
        </is>
      </c>
      <c r="B92" s="3" t="inlineStr">
        <is>
          <t>de Policía</t>
        </is>
      </c>
      <c r="C92" s="5" t="n">
        <v>4</v>
      </c>
      <c r="D92" s="5">
        <f>ROUND(C92*$D$325/$C$325,0)</f>
        <v/>
      </c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 hidden="1" outlineLevel="2" ht="12.75" customHeight="1" s="156">
      <c r="A93" s="3" t="inlineStr">
        <is>
          <t>Chaco</t>
        </is>
      </c>
      <c r="B93" s="3" t="inlineStr">
        <is>
          <t>de Provisión</t>
        </is>
      </c>
      <c r="C93" s="5" t="n">
        <v>2</v>
      </c>
      <c r="D93" s="5">
        <f>ROUND(C93*$D$325/$C$325,0)</f>
        <v/>
      </c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 hidden="1" outlineLevel="2" ht="12.75" customHeight="1" s="156">
      <c r="A94" s="3" t="inlineStr">
        <is>
          <t>Chaco</t>
        </is>
      </c>
      <c r="B94" s="3" t="inlineStr">
        <is>
          <t>de Trabajo</t>
        </is>
      </c>
      <c r="C94" s="5" t="n">
        <v>4</v>
      </c>
      <c r="D94" s="5">
        <f>ROUND(C94*$D$325/$C$325,0)</f>
        <v/>
      </c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 hidden="1" outlineLevel="2" ht="12.75" customHeight="1" s="156">
      <c r="A95" s="3" t="inlineStr">
        <is>
          <t>Chaco</t>
        </is>
      </c>
      <c r="B95" s="3" t="inlineStr">
        <is>
          <t>de Vivienda</t>
        </is>
      </c>
      <c r="C95" s="5" t="n">
        <v>2</v>
      </c>
      <c r="D95" s="5">
        <f>ROUND(C95*$D$325/$C$325,0)</f>
        <v/>
      </c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 hidden="1" outlineLevel="2" ht="12.75" customHeight="1" s="156">
      <c r="A96" s="3" t="inlineStr">
        <is>
          <t>Chaco</t>
        </is>
      </c>
      <c r="B96" s="3" t="inlineStr">
        <is>
          <t>Frutihortícolas</t>
        </is>
      </c>
      <c r="C96" s="5" t="n">
        <v>3</v>
      </c>
      <c r="D96" s="5">
        <f>ROUND(C96*$D$325/$C$325,0)</f>
        <v/>
      </c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 hidden="1" outlineLevel="2" ht="12.75" customHeight="1" s="156">
      <c r="A97" s="3" t="inlineStr">
        <is>
          <t>Chaco</t>
        </is>
      </c>
      <c r="B97" s="3" t="inlineStr">
        <is>
          <t>Tabacalera</t>
        </is>
      </c>
      <c r="C97" s="5" t="n">
        <v>1</v>
      </c>
      <c r="D97" s="5">
        <f>ROUND(C97*$D$325/$C$325,0)</f>
        <v/>
      </c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 hidden="1" outlineLevel="2" ht="12.75" customHeight="1" s="156">
      <c r="A98" s="3" t="inlineStr">
        <is>
          <t>Chaco</t>
        </is>
      </c>
      <c r="B98" s="3" t="inlineStr">
        <is>
          <t>Telefónicas</t>
        </is>
      </c>
      <c r="C98" s="5" t="n">
        <v>1</v>
      </c>
      <c r="D98" s="5">
        <f>ROUND(C98*$D$325/$C$325,0)</f>
        <v/>
      </c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 hidden="1" outlineLevel="2" ht="12.75" customHeight="1" s="156">
      <c r="A99" s="3" t="inlineStr">
        <is>
          <t>Chaco</t>
        </is>
      </c>
      <c r="B99" s="3" t="inlineStr">
        <is>
          <t>Vitivinícola</t>
        </is>
      </c>
      <c r="C99" s="5" t="n">
        <v>1</v>
      </c>
      <c r="D99" s="5">
        <f>ROUND(C99*$D$325/$C$325,0)</f>
        <v/>
      </c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 hidden="1" outlineLevel="1" ht="12.75" customHeight="1" s="156">
      <c r="A100" s="10" t="inlineStr">
        <is>
          <t>Total Chaco</t>
        </is>
      </c>
      <c r="B100" s="3" t="n"/>
      <c r="C100" s="5" t="n"/>
      <c r="D100" s="5">
        <f>SUBTOTAL(9,D89:D99)</f>
        <v/>
      </c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 hidden="1" outlineLevel="2" ht="12.75" customHeight="1" s="156">
      <c r="A101" s="3" t="inlineStr">
        <is>
          <t>Chubut</t>
        </is>
      </c>
      <c r="B101" s="3" t="inlineStr">
        <is>
          <t>de Agua</t>
        </is>
      </c>
      <c r="C101" s="5" t="n">
        <v>1</v>
      </c>
      <c r="D101" s="5">
        <f>ROUND(C101*$D$325/$C$325,0)</f>
        <v/>
      </c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 hidden="1" outlineLevel="2" ht="12.75" customHeight="1" s="156">
      <c r="A102" s="3" t="inlineStr">
        <is>
          <t>Chubut</t>
        </is>
      </c>
      <c r="B102" s="3" t="inlineStr">
        <is>
          <t>de Consumo</t>
        </is>
      </c>
      <c r="C102" s="5" t="n">
        <v>4</v>
      </c>
      <c r="D102" s="5">
        <f>ROUND(C102*$D$325/$C$325,0)</f>
        <v/>
      </c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 hidden="1" outlineLevel="2" ht="12.75" customHeight="1" s="156">
      <c r="A103" s="3" t="inlineStr">
        <is>
          <t>Chubut</t>
        </is>
      </c>
      <c r="B103" s="3" t="inlineStr">
        <is>
          <t>de Fletes/Remis/Taxis</t>
        </is>
      </c>
      <c r="C103" s="5" t="n">
        <v>4</v>
      </c>
      <c r="D103" s="5">
        <f>ROUND(C103*$D$325/$C$325,0)</f>
        <v/>
      </c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 hidden="1" outlineLevel="2" ht="12.75" customHeight="1" s="156">
      <c r="A104" s="3" t="inlineStr">
        <is>
          <t>Chubut</t>
        </is>
      </c>
      <c r="B104" s="3" t="inlineStr">
        <is>
          <t>de Provisión</t>
        </is>
      </c>
      <c r="C104" s="5" t="n">
        <v>8</v>
      </c>
      <c r="D104" s="5">
        <f>ROUND(C104*$D$325/$C$325,0)</f>
        <v/>
      </c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 hidden="1" outlineLevel="2" ht="12.75" customHeight="1" s="156">
      <c r="A105" s="3" t="inlineStr">
        <is>
          <t>Chubut</t>
        </is>
      </c>
      <c r="B105" s="3" t="inlineStr">
        <is>
          <t>de Servicios Públicos</t>
        </is>
      </c>
      <c r="C105" s="5" t="n">
        <v>2</v>
      </c>
      <c r="D105" s="5">
        <f>ROUND(C105*$D$325/$C$325,0)</f>
        <v/>
      </c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 hidden="1" outlineLevel="2" ht="12.75" customHeight="1" s="156">
      <c r="A106" s="3" t="inlineStr">
        <is>
          <t>Chubut</t>
        </is>
      </c>
      <c r="B106" s="3" t="inlineStr">
        <is>
          <t>de Trabajo</t>
        </is>
      </c>
      <c r="C106" s="5" t="n">
        <v>11</v>
      </c>
      <c r="D106" s="5">
        <f>ROUND(C106*$D$325/$C$325,0)</f>
        <v/>
      </c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 hidden="1" outlineLevel="2" ht="12.75" customHeight="1" s="156">
      <c r="A107" s="3" t="inlineStr">
        <is>
          <t>Chubut</t>
        </is>
      </c>
      <c r="B107" s="3" t="inlineStr">
        <is>
          <t>de Transporte</t>
        </is>
      </c>
      <c r="C107" s="5" t="n">
        <v>3</v>
      </c>
      <c r="D107" s="5">
        <f>ROUND(C107*$D$325/$C$325,0)</f>
        <v/>
      </c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 hidden="1" outlineLevel="2" ht="12.75" customHeight="1" s="156">
      <c r="A108" s="3" t="inlineStr">
        <is>
          <t>Chubut</t>
        </is>
      </c>
      <c r="B108" s="3" t="inlineStr">
        <is>
          <t>de Vivienda</t>
        </is>
      </c>
      <c r="C108" s="5" t="n">
        <v>5</v>
      </c>
      <c r="D108" s="5">
        <f>ROUND(C108*$D$325/$C$325,0)</f>
        <v/>
      </c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 hidden="1" outlineLevel="2" ht="12.75" customHeight="1" s="156">
      <c r="A109" s="3" t="inlineStr">
        <is>
          <t>Chubut</t>
        </is>
      </c>
      <c r="B109" s="3" t="inlineStr">
        <is>
          <t>Eléctricas</t>
        </is>
      </c>
      <c r="C109" s="5" t="n">
        <v>19</v>
      </c>
      <c r="D109" s="5">
        <f>ROUND(C109*$D$325/$C$325,0)</f>
        <v/>
      </c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 hidden="1" outlineLevel="2" ht="12.75" customHeight="1" s="156">
      <c r="A110" s="3" t="inlineStr">
        <is>
          <t>Chubut</t>
        </is>
      </c>
      <c r="B110" s="3" t="inlineStr">
        <is>
          <t>Telefónicas</t>
        </is>
      </c>
      <c r="C110" s="5" t="n">
        <v>2</v>
      </c>
      <c r="D110" s="5">
        <f>ROUND(C110*$D$325/$C$325,0)</f>
        <v/>
      </c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 hidden="1" outlineLevel="1" ht="12.75" customHeight="1" s="156">
      <c r="A111" s="10" t="inlineStr">
        <is>
          <t>Total Chubut</t>
        </is>
      </c>
      <c r="B111" s="3" t="n"/>
      <c r="C111" s="5" t="n"/>
      <c r="D111" s="5">
        <f>SUBTOTAL(9,D101:D110)</f>
        <v/>
      </c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 hidden="1" outlineLevel="2" ht="12.75" customHeight="1" s="156">
      <c r="A112" s="3" t="inlineStr">
        <is>
          <t>Entre Ríos</t>
        </is>
      </c>
      <c r="B112" s="3" t="inlineStr">
        <is>
          <t>Agropecuarias</t>
        </is>
      </c>
      <c r="C112" s="5" t="n">
        <v>16</v>
      </c>
      <c r="D112" s="5">
        <f>ROUND(C112*$D$325/$C$325,0)</f>
        <v/>
      </c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 hidden="1" outlineLevel="2" ht="12.75" customHeight="1" s="156">
      <c r="A113" s="3" t="inlineStr">
        <is>
          <t>Entre Ríos</t>
        </is>
      </c>
      <c r="B113" s="3" t="inlineStr">
        <is>
          <t>Arroceras</t>
        </is>
      </c>
      <c r="C113" s="5" t="n">
        <v>10</v>
      </c>
      <c r="D113" s="5">
        <f>ROUND(C113*$D$325/$C$325,0)</f>
        <v/>
      </c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 hidden="1" outlineLevel="2" ht="12.75" customHeight="1" s="156">
      <c r="A114" s="3" t="inlineStr">
        <is>
          <t>Entre Ríos</t>
        </is>
      </c>
      <c r="B114" s="3" t="inlineStr">
        <is>
          <t>de Agua</t>
        </is>
      </c>
      <c r="C114" s="5" t="n">
        <v>12</v>
      </c>
      <c r="D114" s="5">
        <f>ROUND(C114*$D$325/$C$325,0)</f>
        <v/>
      </c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 hidden="1" outlineLevel="2" ht="12.75" customHeight="1" s="156">
      <c r="A115" s="3" t="inlineStr">
        <is>
          <t>Entre Ríos</t>
        </is>
      </c>
      <c r="B115" s="3" t="inlineStr">
        <is>
          <t>de Carniceros</t>
        </is>
      </c>
      <c r="C115" s="5" t="n">
        <v>1</v>
      </c>
      <c r="D115" s="5">
        <f>ROUND(C115*$D$325/$C$325,0)</f>
        <v/>
      </c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 hidden="1" outlineLevel="2" ht="12.75" customHeight="1" s="156">
      <c r="A116" s="3" t="inlineStr">
        <is>
          <t>Entre Ríos</t>
        </is>
      </c>
      <c r="B116" s="3" t="inlineStr">
        <is>
          <t>de Comercio</t>
        </is>
      </c>
      <c r="C116" s="5" t="n">
        <v>1</v>
      </c>
      <c r="D116" s="5">
        <f>ROUND(C116*$D$325/$C$325,0)</f>
        <v/>
      </c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 hidden="1" outlineLevel="2" ht="12.75" customHeight="1" s="156">
      <c r="A117" s="3" t="inlineStr">
        <is>
          <t>Entre Ríos</t>
        </is>
      </c>
      <c r="B117" s="3" t="inlineStr">
        <is>
          <t>de Consumo</t>
        </is>
      </c>
      <c r="C117" s="5" t="n">
        <v>4</v>
      </c>
      <c r="D117" s="5">
        <f>ROUND(C117*$D$325/$C$325,0)</f>
        <v/>
      </c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 hidden="1" outlineLevel="2" ht="12.75" customHeight="1" s="156">
      <c r="A118" s="3" t="inlineStr">
        <is>
          <t>Entre Ríos</t>
        </is>
      </c>
      <c r="B118" s="3" t="inlineStr">
        <is>
          <t>de Fletes/Remis/Taxis</t>
        </is>
      </c>
      <c r="C118" s="5" t="n">
        <v>3</v>
      </c>
      <c r="D118" s="5">
        <f>ROUND(C118*$D$325/$C$325,0)</f>
        <v/>
      </c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 hidden="1" outlineLevel="2" ht="12.75" customHeight="1" s="156">
      <c r="A119" s="3" t="inlineStr">
        <is>
          <t>Entre Ríos</t>
        </is>
      </c>
      <c r="B119" s="3" t="inlineStr">
        <is>
          <t>de Gas</t>
        </is>
      </c>
      <c r="C119" s="5" t="n">
        <v>1</v>
      </c>
      <c r="D119" s="5">
        <f>ROUND(C119*$D$325/$C$325,0)</f>
        <v/>
      </c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 hidden="1" outlineLevel="2" ht="12.75" customHeight="1" s="156">
      <c r="A120" s="3" t="inlineStr">
        <is>
          <t>Entre Ríos</t>
        </is>
      </c>
      <c r="B120" s="3" t="inlineStr">
        <is>
          <t>de Provisión</t>
        </is>
      </c>
      <c r="C120" s="5" t="n">
        <v>1</v>
      </c>
      <c r="D120" s="5">
        <f>ROUND(C120*$D$325/$C$325,0)</f>
        <v/>
      </c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 hidden="1" outlineLevel="2" ht="12.75" customHeight="1" s="156">
      <c r="A121" s="3" t="inlineStr">
        <is>
          <t>Entre Ríos</t>
        </is>
      </c>
      <c r="B121" s="3" t="inlineStr">
        <is>
          <t>de Salud: Farmacéuticas</t>
        </is>
      </c>
      <c r="C121" s="5" t="n">
        <v>1</v>
      </c>
      <c r="D121" s="5">
        <f>ROUND(C121*$D$325/$C$325,0)</f>
        <v/>
      </c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 hidden="1" outlineLevel="2" ht="12.75" customHeight="1" s="156">
      <c r="A122" s="3" t="inlineStr">
        <is>
          <t>Entre Ríos</t>
        </is>
      </c>
      <c r="B122" s="3" t="inlineStr">
        <is>
          <t>de Salud: Medicina</t>
        </is>
      </c>
      <c r="C122" s="5" t="n">
        <v>1</v>
      </c>
      <c r="D122" s="5">
        <f>ROUND(C122*$D$325/$C$325,0)</f>
        <v/>
      </c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 hidden="1" outlineLevel="2" ht="12.75" customHeight="1" s="156">
      <c r="A123" s="3" t="inlineStr">
        <is>
          <t>Entre Ríos</t>
        </is>
      </c>
      <c r="B123" s="3" t="inlineStr">
        <is>
          <t>de Salud: Salud</t>
        </is>
      </c>
      <c r="C123" s="5" t="n">
        <v>1</v>
      </c>
      <c r="D123" s="5">
        <f>ROUND(C123*$D$325/$C$325,0)</f>
        <v/>
      </c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 hidden="1" outlineLevel="2" ht="12.75" customHeight="1" s="156">
      <c r="A124" s="3" t="inlineStr">
        <is>
          <t>Entre Ríos</t>
        </is>
      </c>
      <c r="B124" s="3" t="inlineStr">
        <is>
          <t>de Servicios Públicos</t>
        </is>
      </c>
      <c r="C124" s="5" t="n">
        <v>3</v>
      </c>
      <c r="D124" s="5">
        <f>ROUND(C124*$D$325/$C$325,0)</f>
        <v/>
      </c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 hidden="1" outlineLevel="2" ht="12.75" customHeight="1" s="156">
      <c r="A125" s="3" t="inlineStr">
        <is>
          <t>Entre Ríos</t>
        </is>
      </c>
      <c r="B125" s="3" t="inlineStr">
        <is>
          <t>de Trabajo</t>
        </is>
      </c>
      <c r="C125" s="5" t="n">
        <v>19</v>
      </c>
      <c r="D125" s="5">
        <f>ROUND(C125*$D$325/$C$325,0)</f>
        <v/>
      </c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 hidden="1" outlineLevel="2" ht="12.75" customHeight="1" s="156">
      <c r="A126" s="3" t="inlineStr">
        <is>
          <t>Entre Ríos</t>
        </is>
      </c>
      <c r="B126" s="3" t="inlineStr">
        <is>
          <t>de Transporte</t>
        </is>
      </c>
      <c r="C126" s="5" t="n">
        <v>5</v>
      </c>
      <c r="D126" s="5">
        <f>ROUND(C126*$D$325/$C$325,0)</f>
        <v/>
      </c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 hidden="1" outlineLevel="2" ht="12.75" customHeight="1" s="156">
      <c r="A127" s="3" t="inlineStr">
        <is>
          <t>Entre Ríos</t>
        </is>
      </c>
      <c r="B127" s="3" t="inlineStr">
        <is>
          <t>de Vivienda</t>
        </is>
      </c>
      <c r="C127" s="5" t="n">
        <v>3</v>
      </c>
      <c r="D127" s="5">
        <f>ROUND(C127*$D$325/$C$325,0)</f>
        <v/>
      </c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 hidden="1" outlineLevel="2" ht="12.75" customHeight="1" s="156">
      <c r="A128" s="3" t="inlineStr">
        <is>
          <t>Entre Ríos</t>
        </is>
      </c>
      <c r="B128" s="3" t="inlineStr">
        <is>
          <t>Eléctricas</t>
        </is>
      </c>
      <c r="C128" s="5" t="n">
        <v>11</v>
      </c>
      <c r="D128" s="5">
        <f>ROUND(C128*$D$325/$C$325,0)</f>
        <v/>
      </c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 hidden="1" outlineLevel="2" ht="12.75" customHeight="1" s="156">
      <c r="A129" s="3" t="inlineStr">
        <is>
          <t>Entre Ríos</t>
        </is>
      </c>
      <c r="B129" s="3" t="inlineStr">
        <is>
          <t>Frutihortícolas</t>
        </is>
      </c>
      <c r="C129" s="5" t="n">
        <v>1</v>
      </c>
      <c r="D129" s="5">
        <f>ROUND(C129*$D$325/$C$325,0)</f>
        <v/>
      </c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 hidden="1" outlineLevel="2" ht="12.75" customHeight="1" s="156">
      <c r="A130" s="3" t="inlineStr">
        <is>
          <t>Entre Ríos</t>
        </is>
      </c>
      <c r="B130" s="3" t="inlineStr">
        <is>
          <t>Ganaderas</t>
        </is>
      </c>
      <c r="C130" s="5" t="n">
        <v>13</v>
      </c>
      <c r="D130" s="5">
        <f>ROUND(C130*$D$325/$C$325,0)</f>
        <v/>
      </c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 hidden="1" outlineLevel="1" ht="12.75" customHeight="1" s="156">
      <c r="A131" s="10" t="inlineStr">
        <is>
          <t>Total Entre Ríos</t>
        </is>
      </c>
      <c r="B131" s="3" t="n"/>
      <c r="C131" s="5" t="n"/>
      <c r="D131" s="5">
        <f>SUBTOTAL(9,D112:D130)</f>
        <v/>
      </c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 hidden="1" outlineLevel="2" ht="12.75" customHeight="1" s="156">
      <c r="A132" s="3" t="inlineStr">
        <is>
          <t>Formosa</t>
        </is>
      </c>
      <c r="B132" s="3" t="inlineStr">
        <is>
          <t>de Agua</t>
        </is>
      </c>
      <c r="C132" s="5" t="n">
        <v>2</v>
      </c>
      <c r="D132" s="5">
        <f>ROUND(C132*$D$325/$C$325,0)</f>
        <v/>
      </c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 hidden="1" outlineLevel="2" ht="12.75" customHeight="1" s="156">
      <c r="A133" s="3" t="inlineStr">
        <is>
          <t>Formosa</t>
        </is>
      </c>
      <c r="B133" s="3" t="inlineStr">
        <is>
          <t>de Gas</t>
        </is>
      </c>
      <c r="C133" s="5" t="n">
        <v>1</v>
      </c>
      <c r="D133" s="5">
        <f>ROUND(C133*$D$325/$C$325,0)</f>
        <v/>
      </c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 hidden="1" outlineLevel="2" ht="12.75" customHeight="1" s="156">
      <c r="A134" s="3" t="inlineStr">
        <is>
          <t>Formosa</t>
        </is>
      </c>
      <c r="B134" s="3" t="inlineStr">
        <is>
          <t>de Servicios Públicos</t>
        </is>
      </c>
      <c r="C134" s="5" t="n">
        <v>3</v>
      </c>
      <c r="D134" s="5">
        <f>ROUND(C134*$D$325/$C$325,0)</f>
        <v/>
      </c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 hidden="1" outlineLevel="2" ht="12.75" customHeight="1" s="156">
      <c r="A135" s="3" t="inlineStr">
        <is>
          <t>Formosa</t>
        </is>
      </c>
      <c r="B135" s="3" t="inlineStr">
        <is>
          <t>de Trabajo</t>
        </is>
      </c>
      <c r="C135" s="5" t="n">
        <v>7</v>
      </c>
      <c r="D135" s="5">
        <f>ROUND(C135*$D$325/$C$325,0)</f>
        <v/>
      </c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 hidden="1" outlineLevel="2" ht="12.75" customHeight="1" s="156">
      <c r="A136" s="3" t="inlineStr">
        <is>
          <t>Formosa</t>
        </is>
      </c>
      <c r="B136" s="3" t="inlineStr">
        <is>
          <t>Telefónicas</t>
        </is>
      </c>
      <c r="C136" s="5" t="n">
        <v>1</v>
      </c>
      <c r="D136" s="5">
        <f>ROUND(C136*$D$325/$C$325,0)</f>
        <v/>
      </c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 hidden="1" outlineLevel="1" ht="12.75" customHeight="1" s="156">
      <c r="A137" s="10" t="inlineStr">
        <is>
          <t>Total Formosa</t>
        </is>
      </c>
      <c r="B137" s="3" t="n"/>
      <c r="C137" s="5" t="n"/>
      <c r="D137" s="5">
        <f>SUBTOTAL(9,D132:D136)</f>
        <v/>
      </c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 hidden="1" outlineLevel="2" ht="12.75" customHeight="1" s="156">
      <c r="A138" s="3" t="inlineStr">
        <is>
          <t>Jujuy</t>
        </is>
      </c>
      <c r="B138" s="3" t="inlineStr">
        <is>
          <t>de Gas</t>
        </is>
      </c>
      <c r="C138" s="5" t="n">
        <v>1</v>
      </c>
      <c r="D138" s="5">
        <f>ROUND(C138*$D$325/$C$325,0)</f>
        <v/>
      </c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 hidden="1" outlineLevel="2" ht="12.75" customHeight="1" s="156">
      <c r="A139" s="3" t="inlineStr">
        <is>
          <t>Jujuy</t>
        </is>
      </c>
      <c r="B139" s="3" t="inlineStr">
        <is>
          <t>de Provisión</t>
        </is>
      </c>
      <c r="C139" s="5" t="n">
        <v>5</v>
      </c>
      <c r="D139" s="5">
        <f>ROUND(C139*$D$325/$C$325,0)</f>
        <v/>
      </c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 hidden="1" outlineLevel="2" ht="12.75" customHeight="1" s="156">
      <c r="A140" s="3" t="inlineStr">
        <is>
          <t>Jujuy</t>
        </is>
      </c>
      <c r="B140" s="3" t="inlineStr">
        <is>
          <t>de Servicios Públicos</t>
        </is>
      </c>
      <c r="C140" s="5" t="n">
        <v>1</v>
      </c>
      <c r="D140" s="5">
        <f>ROUND(C140*$D$325/$C$325,0)</f>
        <v/>
      </c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 hidden="1" outlineLevel="2" ht="12.75" customHeight="1" s="156">
      <c r="A141" s="3" t="inlineStr">
        <is>
          <t>Jujuy</t>
        </is>
      </c>
      <c r="B141" s="3" t="inlineStr">
        <is>
          <t>de Trabajo</t>
        </is>
      </c>
      <c r="C141" s="5" t="n">
        <v>10</v>
      </c>
      <c r="D141" s="5">
        <f>ROUND(C141*$D$325/$C$325,0)</f>
        <v/>
      </c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 hidden="1" outlineLevel="2" ht="12.75" customHeight="1" s="156">
      <c r="A142" s="3" t="inlineStr">
        <is>
          <t>Jujuy</t>
        </is>
      </c>
      <c r="B142" s="3" t="inlineStr">
        <is>
          <t>de Transporte</t>
        </is>
      </c>
      <c r="C142" s="5" t="n">
        <v>4</v>
      </c>
      <c r="D142" s="5">
        <f>ROUND(C142*$D$325/$C$325,0)</f>
        <v/>
      </c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 hidden="1" outlineLevel="2" ht="12.75" customHeight="1" s="156">
      <c r="A143" s="3" t="inlineStr">
        <is>
          <t>Jujuy</t>
        </is>
      </c>
      <c r="B143" s="3" t="inlineStr">
        <is>
          <t>Educación</t>
        </is>
      </c>
      <c r="C143" s="5" t="n">
        <v>1</v>
      </c>
      <c r="D143" s="5">
        <f>ROUND(C143*$D$325/$C$325,0)</f>
        <v/>
      </c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 hidden="1" outlineLevel="2" ht="12.75" customHeight="1" s="156">
      <c r="A144" s="3" t="inlineStr">
        <is>
          <t>Jujuy</t>
        </is>
      </c>
      <c r="B144" s="3" t="inlineStr">
        <is>
          <t>Eléctricas</t>
        </is>
      </c>
      <c r="C144" s="5" t="n">
        <v>1</v>
      </c>
      <c r="D144" s="5">
        <f>ROUND(C144*$D$325/$C$325,0)</f>
        <v/>
      </c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 hidden="1" outlineLevel="2" ht="12.75" customHeight="1" s="156">
      <c r="A145" s="3" t="inlineStr">
        <is>
          <t>Jujuy</t>
        </is>
      </c>
      <c r="B145" s="3" t="inlineStr">
        <is>
          <t>Frutihortícolas</t>
        </is>
      </c>
      <c r="C145" s="5" t="n">
        <v>1</v>
      </c>
      <c r="D145" s="5">
        <f>ROUND(C145*$D$325/$C$325,0)</f>
        <v/>
      </c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 hidden="1" outlineLevel="2" ht="12.75" customHeight="1" s="156">
      <c r="A146" s="3" t="inlineStr">
        <is>
          <t>Jujuy</t>
        </is>
      </c>
      <c r="B146" s="3" t="inlineStr">
        <is>
          <t>Tabacalera</t>
        </is>
      </c>
      <c r="C146" s="5" t="n">
        <v>2</v>
      </c>
      <c r="D146" s="5">
        <f>ROUND(C146*$D$325/$C$325,0)</f>
        <v/>
      </c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 hidden="1" outlineLevel="2" ht="12.75" customHeight="1" s="156">
      <c r="A147" s="3" t="inlineStr">
        <is>
          <t>Jujuy</t>
        </is>
      </c>
      <c r="B147" s="3" t="inlineStr">
        <is>
          <t>Telefónicas</t>
        </is>
      </c>
      <c r="C147" s="5" t="n">
        <v>12</v>
      </c>
      <c r="D147" s="5">
        <f>ROUND(C147*$D$325/$C$325,0)</f>
        <v/>
      </c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 hidden="1" outlineLevel="1" ht="12.75" customHeight="1" s="156">
      <c r="A148" s="10" t="inlineStr">
        <is>
          <t>Total Jujuy</t>
        </is>
      </c>
      <c r="B148" s="3" t="n"/>
      <c r="C148" s="5" t="n"/>
      <c r="D148" s="5">
        <f>SUBTOTAL(9,D138:D147)</f>
        <v/>
      </c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 hidden="1" outlineLevel="2" ht="12.75" customHeight="1" s="156">
      <c r="A149" s="3" t="inlineStr">
        <is>
          <t>La Pampa</t>
        </is>
      </c>
      <c r="B149" s="3" t="inlineStr">
        <is>
          <t>Agropecuarias</t>
        </is>
      </c>
      <c r="C149" s="5" t="n">
        <v>6</v>
      </c>
      <c r="D149" s="5">
        <f>ROUND(C149*$D$325/$C$325,0)</f>
        <v/>
      </c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 hidden="1" outlineLevel="2" ht="12.75" customHeight="1" s="156">
      <c r="A150" s="3" t="inlineStr">
        <is>
          <t>La Pampa</t>
        </is>
      </c>
      <c r="B150" s="3" t="inlineStr">
        <is>
          <t>de Agua</t>
        </is>
      </c>
      <c r="C150" s="5" t="n">
        <v>2</v>
      </c>
      <c r="D150" s="5">
        <f>ROUND(C150*$D$325/$C$325,0)</f>
        <v/>
      </c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 hidden="1" outlineLevel="2" ht="12.75" customHeight="1" s="156">
      <c r="A151" s="3" t="inlineStr">
        <is>
          <t>La Pampa</t>
        </is>
      </c>
      <c r="B151" s="3" t="inlineStr">
        <is>
          <t>de Provisión</t>
        </is>
      </c>
      <c r="C151" s="5" t="n">
        <v>1</v>
      </c>
      <c r="D151" s="5">
        <f>ROUND(C151*$D$325/$C$325,0)</f>
        <v/>
      </c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 hidden="1" outlineLevel="2" ht="12.75" customHeight="1" s="156">
      <c r="A152" s="3" t="inlineStr">
        <is>
          <t>La Pampa</t>
        </is>
      </c>
      <c r="B152" s="3" t="inlineStr">
        <is>
          <t>de Salud: Farmacéuticas</t>
        </is>
      </c>
      <c r="C152" s="5" t="n">
        <v>1</v>
      </c>
      <c r="D152" s="5">
        <f>ROUND(C152*$D$325/$C$325,0)</f>
        <v/>
      </c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 hidden="1" outlineLevel="2" ht="12.75" customHeight="1" s="156">
      <c r="A153" s="3" t="inlineStr">
        <is>
          <t>La Pampa</t>
        </is>
      </c>
      <c r="B153" s="3" t="inlineStr">
        <is>
          <t>de Servicios Públicos</t>
        </is>
      </c>
      <c r="C153" s="5" t="n">
        <v>5</v>
      </c>
      <c r="D153" s="5">
        <f>ROUND(C153*$D$325/$C$325,0)</f>
        <v/>
      </c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 hidden="1" outlineLevel="2" ht="12.75" customHeight="1" s="156">
      <c r="A154" s="3" t="inlineStr">
        <is>
          <t>La Pampa</t>
        </is>
      </c>
      <c r="B154" s="3" t="inlineStr">
        <is>
          <t>de Trabajo</t>
        </is>
      </c>
      <c r="C154" s="5" t="n">
        <v>1</v>
      </c>
      <c r="D154" s="5">
        <f>ROUND(C154*$D$325/$C$325,0)</f>
        <v/>
      </c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 hidden="1" outlineLevel="2" ht="12.75" customHeight="1" s="156">
      <c r="A155" s="3" t="inlineStr">
        <is>
          <t>La Pampa</t>
        </is>
      </c>
      <c r="B155" s="3" t="inlineStr">
        <is>
          <t>de Vivienda</t>
        </is>
      </c>
      <c r="C155" s="5" t="n">
        <v>1</v>
      </c>
      <c r="D155" s="5">
        <f>ROUND(C155*$D$325/$C$325,0)</f>
        <v/>
      </c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 hidden="1" outlineLevel="2" ht="12.75" customHeight="1" s="156">
      <c r="A156" s="3" t="inlineStr">
        <is>
          <t>La Pampa</t>
        </is>
      </c>
      <c r="B156" s="3" t="inlineStr">
        <is>
          <t>Eléctricas</t>
        </is>
      </c>
      <c r="C156" s="5" t="n">
        <v>5</v>
      </c>
      <c r="D156" s="5">
        <f>ROUND(C156*$D$325/$C$325,0)</f>
        <v/>
      </c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 hidden="1" outlineLevel="2" ht="12.75" customHeight="1" s="156">
      <c r="A157" s="3" t="inlineStr">
        <is>
          <t>La Pampa</t>
        </is>
      </c>
      <c r="B157" s="3" t="inlineStr">
        <is>
          <t>Ganaderas</t>
        </is>
      </c>
      <c r="C157" s="5" t="n">
        <v>1</v>
      </c>
      <c r="D157" s="5">
        <f>ROUND(C157*$D$325/$C$325,0)</f>
        <v/>
      </c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 hidden="1" outlineLevel="1" ht="12.75" customHeight="1" s="156">
      <c r="A158" s="10" t="inlineStr">
        <is>
          <t>Total La Pampa</t>
        </is>
      </c>
      <c r="B158" s="3" t="n"/>
      <c r="C158" s="5" t="n"/>
      <c r="D158" s="5">
        <f>SUBTOTAL(9,D149:D157)</f>
        <v/>
      </c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 hidden="1" outlineLevel="2" ht="12.75" customHeight="1" s="156">
      <c r="A159" s="3" t="inlineStr">
        <is>
          <t>La Rioja</t>
        </is>
      </c>
      <c r="B159" s="3" t="inlineStr">
        <is>
          <t>Ahorro/Crédito/Emprend</t>
        </is>
      </c>
      <c r="C159" s="5" t="n">
        <v>1</v>
      </c>
      <c r="D159" s="5">
        <f>ROUND(C159*$D$325/$C$325,0)</f>
        <v/>
      </c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 hidden="1" outlineLevel="2" ht="12.75" customHeight="1" s="156">
      <c r="A160" s="3" t="inlineStr">
        <is>
          <t>La Rioja</t>
        </is>
      </c>
      <c r="B160" s="3" t="inlineStr">
        <is>
          <t>de Consumo</t>
        </is>
      </c>
      <c r="C160" s="5" t="n">
        <v>3</v>
      </c>
      <c r="D160" s="5">
        <f>ROUND(C160*$D$325/$C$325,0)</f>
        <v/>
      </c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 hidden="1" outlineLevel="2" ht="12.75" customHeight="1" s="156">
      <c r="A161" s="3" t="inlineStr">
        <is>
          <t>La Rioja</t>
        </is>
      </c>
      <c r="B161" s="3" t="inlineStr">
        <is>
          <t>de Fletes/Remis/Taxis</t>
        </is>
      </c>
      <c r="C161" s="5" t="n">
        <v>3</v>
      </c>
      <c r="D161" s="5">
        <f>ROUND(C161*$D$325/$C$325,0)</f>
        <v/>
      </c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 hidden="1" outlineLevel="2" ht="12.75" customHeight="1" s="156">
      <c r="A162" s="3" t="inlineStr">
        <is>
          <t>La Rioja</t>
        </is>
      </c>
      <c r="B162" s="3" t="inlineStr">
        <is>
          <t>de Salud: Medicina</t>
        </is>
      </c>
      <c r="C162" s="5" t="n">
        <v>1</v>
      </c>
      <c r="D162" s="5">
        <f>ROUND(C162*$D$325/$C$325,0)</f>
        <v/>
      </c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 hidden="1" outlineLevel="2" ht="12.75" customHeight="1" s="156">
      <c r="A163" s="3" t="inlineStr">
        <is>
          <t>La Rioja</t>
        </is>
      </c>
      <c r="B163" s="3" t="inlineStr">
        <is>
          <t>de Trabajo</t>
        </is>
      </c>
      <c r="C163" s="5" t="n">
        <v>9</v>
      </c>
      <c r="D163" s="5">
        <f>ROUND(C163*$D$325/$C$325,0)</f>
        <v/>
      </c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 hidden="1" outlineLevel="2" ht="12.75" customHeight="1" s="156">
      <c r="A164" s="3" t="inlineStr">
        <is>
          <t>La Rioja</t>
        </is>
      </c>
      <c r="B164" s="3" t="inlineStr">
        <is>
          <t>de Vivienda</t>
        </is>
      </c>
      <c r="C164" s="5" t="n">
        <v>4</v>
      </c>
      <c r="D164" s="5">
        <f>ROUND(C164*$D$325/$C$325,0)</f>
        <v/>
      </c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 hidden="1" outlineLevel="2" ht="12.75" customHeight="1" s="156">
      <c r="A165" s="3" t="inlineStr">
        <is>
          <t>La Rioja</t>
        </is>
      </c>
      <c r="B165" s="3" t="inlineStr">
        <is>
          <t>Frutihortícolas</t>
        </is>
      </c>
      <c r="C165" s="5" t="n">
        <v>1</v>
      </c>
      <c r="D165" s="5">
        <f>ROUND(C165*$D$325/$C$325,0)</f>
        <v/>
      </c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 hidden="1" outlineLevel="2" ht="12.75" customHeight="1" s="156">
      <c r="A166" s="3" t="inlineStr">
        <is>
          <t>La Rioja</t>
        </is>
      </c>
      <c r="B166" s="3" t="inlineStr">
        <is>
          <t>Telefónicas</t>
        </is>
      </c>
      <c r="C166" s="5" t="n">
        <v>1</v>
      </c>
      <c r="D166" s="5">
        <f>ROUND(C166*$D$325/$C$325,0)</f>
        <v/>
      </c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 hidden="1" outlineLevel="2" ht="12.75" customHeight="1" s="156">
      <c r="A167" s="3" t="inlineStr">
        <is>
          <t>La Rioja</t>
        </is>
      </c>
      <c r="B167" s="3" t="inlineStr">
        <is>
          <t>Vitivinícola</t>
        </is>
      </c>
      <c r="C167" s="5" t="n">
        <v>1</v>
      </c>
      <c r="D167" s="5">
        <f>ROUND(C167*$D$325/$C$325,0)</f>
        <v/>
      </c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 hidden="1" outlineLevel="1" ht="12.75" customHeight="1" s="156">
      <c r="A168" s="10" t="inlineStr">
        <is>
          <t>Total La Rioja</t>
        </is>
      </c>
      <c r="B168" s="3" t="n"/>
      <c r="C168" s="5" t="n"/>
      <c r="D168" s="5">
        <f>SUBTOTAL(9,D159:D167)</f>
        <v/>
      </c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 hidden="1" outlineLevel="2" ht="12.75" customHeight="1" s="156">
      <c r="A169" s="3" t="inlineStr">
        <is>
          <t>Mendoza</t>
        </is>
      </c>
      <c r="B169" s="3" t="inlineStr">
        <is>
          <t>Agropecuarias</t>
        </is>
      </c>
      <c r="C169" s="5" t="n">
        <v>7</v>
      </c>
      <c r="D169" s="5">
        <f>ROUND(C169*$D$325/$C$325,0)</f>
        <v/>
      </c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 hidden="1" outlineLevel="2" ht="12.75" customHeight="1" s="156">
      <c r="A170" s="3" t="inlineStr">
        <is>
          <t>Mendoza</t>
        </is>
      </c>
      <c r="B170" s="3" t="inlineStr">
        <is>
          <t>de Agua</t>
        </is>
      </c>
      <c r="C170" s="5" t="n">
        <v>2</v>
      </c>
      <c r="D170" s="5">
        <f>ROUND(C170*$D$325/$C$325,0)</f>
        <v/>
      </c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 hidden="1" outlineLevel="2" ht="12.75" customHeight="1" s="156">
      <c r="A171" s="3" t="inlineStr">
        <is>
          <t>Mendoza</t>
        </is>
      </c>
      <c r="B171" s="3" t="inlineStr">
        <is>
          <t>de Consumo</t>
        </is>
      </c>
      <c r="C171" s="5" t="n">
        <v>3</v>
      </c>
      <c r="D171" s="5">
        <f>ROUND(C171*$D$325/$C$325,0)</f>
        <v/>
      </c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 hidden="1" outlineLevel="2" ht="12.75" customHeight="1" s="156">
      <c r="A172" s="3" t="inlineStr">
        <is>
          <t>Mendoza</t>
        </is>
      </c>
      <c r="B172" s="3" t="inlineStr">
        <is>
          <t>de Escolares/Jardines</t>
        </is>
      </c>
      <c r="C172" s="5" t="n">
        <v>1</v>
      </c>
      <c r="D172" s="5">
        <f>ROUND(C172*$D$325/$C$325,0)</f>
        <v/>
      </c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 hidden="1" outlineLevel="2" ht="12.75" customHeight="1" s="156">
      <c r="A173" s="3" t="inlineStr">
        <is>
          <t>Mendoza</t>
        </is>
      </c>
      <c r="B173" s="3" t="inlineStr">
        <is>
          <t>de Fletes/Remis/Taxis</t>
        </is>
      </c>
      <c r="C173" s="5" t="n">
        <v>3</v>
      </c>
      <c r="D173" s="5">
        <f>ROUND(C173*$D$325/$C$325,0)</f>
        <v/>
      </c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 hidden="1" outlineLevel="2" ht="12.75" customHeight="1" s="156">
      <c r="A174" s="3" t="inlineStr">
        <is>
          <t>Mendoza</t>
        </is>
      </c>
      <c r="B174" s="3" t="inlineStr">
        <is>
          <t>de Provisión</t>
        </is>
      </c>
      <c r="C174" s="5" t="n">
        <v>6</v>
      </c>
      <c r="D174" s="5">
        <f>ROUND(C174*$D$325/$C$325,0)</f>
        <v/>
      </c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 hidden="1" outlineLevel="2" ht="12.75" customHeight="1" s="156">
      <c r="A175" s="3" t="inlineStr">
        <is>
          <t>Mendoza</t>
        </is>
      </c>
      <c r="B175" s="3" t="inlineStr">
        <is>
          <t>de Salud: Bioquímicas</t>
        </is>
      </c>
      <c r="C175" s="5" t="n">
        <v>1</v>
      </c>
      <c r="D175" s="5">
        <f>ROUND(C175*$D$325/$C$325,0)</f>
        <v/>
      </c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 hidden="1" outlineLevel="2" ht="12.75" customHeight="1" s="156">
      <c r="A176" s="3" t="inlineStr">
        <is>
          <t>Mendoza</t>
        </is>
      </c>
      <c r="B176" s="3" t="inlineStr">
        <is>
          <t>de Salud: Farmacéuticas</t>
        </is>
      </c>
      <c r="C176" s="5" t="n">
        <v>4</v>
      </c>
      <c r="D176" s="5">
        <f>ROUND(C176*$D$325/$C$325,0)</f>
        <v/>
      </c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 hidden="1" outlineLevel="2" ht="12.75" customHeight="1" s="156">
      <c r="A177" s="3" t="inlineStr">
        <is>
          <t>Mendoza</t>
        </is>
      </c>
      <c r="B177" s="3" t="inlineStr">
        <is>
          <t>de Salud: Medicina</t>
        </is>
      </c>
      <c r="C177" s="5" t="n">
        <v>1</v>
      </c>
      <c r="D177" s="5">
        <f>ROUND(C177*$D$325/$C$325,0)</f>
        <v/>
      </c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 hidden="1" outlineLevel="2" ht="12.75" customHeight="1" s="156">
      <c r="A178" s="3" t="inlineStr">
        <is>
          <t>Mendoza</t>
        </is>
      </c>
      <c r="B178" s="3" t="inlineStr">
        <is>
          <t>de Servicios Públicos</t>
        </is>
      </c>
      <c r="C178" s="5" t="n">
        <v>1</v>
      </c>
      <c r="D178" s="5">
        <f>ROUND(C178*$D$325/$C$325,0)</f>
        <v/>
      </c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 hidden="1" outlineLevel="2" ht="12.75" customHeight="1" s="156">
      <c r="A179" s="3" t="inlineStr">
        <is>
          <t>Mendoza</t>
        </is>
      </c>
      <c r="B179" s="3" t="inlineStr">
        <is>
          <t>de Trabajo</t>
        </is>
      </c>
      <c r="C179" s="5" t="n">
        <v>8</v>
      </c>
      <c r="D179" s="5">
        <f>ROUND(C179*$D$325/$C$325,0)</f>
        <v/>
      </c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 hidden="1" outlineLevel="2" ht="12.75" customHeight="1" s="156">
      <c r="A180" s="3" t="inlineStr">
        <is>
          <t>Mendoza</t>
        </is>
      </c>
      <c r="B180" s="3" t="inlineStr">
        <is>
          <t>de Transporte</t>
        </is>
      </c>
      <c r="C180" s="5" t="n">
        <v>5</v>
      </c>
      <c r="D180" s="5">
        <f>ROUND(C180*$D$325/$C$325,0)</f>
        <v/>
      </c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 hidden="1" outlineLevel="2" ht="12.75" customHeight="1" s="156">
      <c r="A181" s="3" t="inlineStr">
        <is>
          <t>Mendoza</t>
        </is>
      </c>
      <c r="B181" s="3" t="inlineStr">
        <is>
          <t>de Vivienda</t>
        </is>
      </c>
      <c r="C181" s="5" t="n">
        <v>19</v>
      </c>
      <c r="D181" s="5">
        <f>ROUND(C181*$D$325/$C$325,0)</f>
        <v/>
      </c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 hidden="1" outlineLevel="2" ht="12.75" customHeight="1" s="156">
      <c r="A182" s="3" t="inlineStr">
        <is>
          <t>Mendoza</t>
        </is>
      </c>
      <c r="B182" s="3" t="inlineStr">
        <is>
          <t>Eléctricas</t>
        </is>
      </c>
      <c r="C182" s="5" t="n">
        <v>10</v>
      </c>
      <c r="D182" s="5">
        <f>ROUND(C182*$D$325/$C$325,0)</f>
        <v/>
      </c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 hidden="1" outlineLevel="2" ht="12.75" customHeight="1" s="156">
      <c r="A183" s="3" t="inlineStr">
        <is>
          <t>Mendoza</t>
        </is>
      </c>
      <c r="B183" s="3" t="inlineStr">
        <is>
          <t>Frutihortícolas</t>
        </is>
      </c>
      <c r="C183" s="5" t="n">
        <v>3</v>
      </c>
      <c r="D183" s="5">
        <f>ROUND(C183*$D$325/$C$325,0)</f>
        <v/>
      </c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 hidden="1" outlineLevel="2" ht="12.75" customHeight="1" s="156">
      <c r="A184" s="3" t="inlineStr">
        <is>
          <t>Mendoza</t>
        </is>
      </c>
      <c r="B184" s="3" t="inlineStr">
        <is>
          <t>Ganaderas</t>
        </is>
      </c>
      <c r="C184" s="5" t="n">
        <v>2</v>
      </c>
      <c r="D184" s="5">
        <f>ROUND(C184*$D$325/$C$325,0)</f>
        <v/>
      </c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 hidden="1" outlineLevel="2" ht="12.75" customHeight="1" s="156">
      <c r="A185" s="3" t="inlineStr">
        <is>
          <t>Mendoza</t>
        </is>
      </c>
      <c r="B185" s="3" t="inlineStr">
        <is>
          <t>Vitivinícola</t>
        </is>
      </c>
      <c r="C185" s="5" t="n">
        <v>21</v>
      </c>
      <c r="D185" s="5">
        <f>ROUND(C185*$D$325/$C$325,0)</f>
        <v/>
      </c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 hidden="1" outlineLevel="1" ht="12.75" customHeight="1" s="156">
      <c r="A186" s="10" t="inlineStr">
        <is>
          <t>Total Mendoza</t>
        </is>
      </c>
      <c r="B186" s="3" t="n"/>
      <c r="C186" s="5" t="n"/>
      <c r="D186" s="5">
        <f>SUBTOTAL(9,D169:D185)</f>
        <v/>
      </c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 hidden="1" outlineLevel="2" ht="12.75" customHeight="1" s="156">
      <c r="A187" s="3" t="inlineStr">
        <is>
          <t>Misiones</t>
        </is>
      </c>
      <c r="B187" s="3" t="inlineStr">
        <is>
          <t>Agropecuarias</t>
        </is>
      </c>
      <c r="C187" s="5" t="n">
        <v>17</v>
      </c>
      <c r="D187" s="5">
        <f>ROUND(C187*$D$325/$C$325,0)</f>
        <v/>
      </c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 hidden="1" outlineLevel="2" ht="12.75" customHeight="1" s="156">
      <c r="A188" s="3" t="inlineStr">
        <is>
          <t>Misiones</t>
        </is>
      </c>
      <c r="B188" s="3" t="inlineStr">
        <is>
          <t>Avícolas</t>
        </is>
      </c>
      <c r="C188" s="5" t="n">
        <v>1</v>
      </c>
      <c r="D188" s="5">
        <f>ROUND(C188*$D$325/$C$325,0)</f>
        <v/>
      </c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 hidden="1" outlineLevel="2" ht="12.75" customHeight="1" s="156">
      <c r="A189" s="3" t="inlineStr">
        <is>
          <t>Misiones</t>
        </is>
      </c>
      <c r="B189" s="3" t="inlineStr">
        <is>
          <t>Azucareras</t>
        </is>
      </c>
      <c r="C189" s="5" t="n">
        <v>1</v>
      </c>
      <c r="D189" s="5">
        <f>ROUND(C189*$D$325/$C$325,0)</f>
        <v/>
      </c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 hidden="1" outlineLevel="2" ht="12.75" customHeight="1" s="156">
      <c r="A190" s="3" t="inlineStr">
        <is>
          <t>Misiones</t>
        </is>
      </c>
      <c r="B190" s="3" t="inlineStr">
        <is>
          <t>de Agua</t>
        </is>
      </c>
      <c r="C190" s="5" t="n">
        <v>14</v>
      </c>
      <c r="D190" s="5">
        <f>ROUND(C190*$D$325/$C$325,0)</f>
        <v/>
      </c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 hidden="1" outlineLevel="2" ht="12.75" customHeight="1" s="156">
      <c r="A191" s="3" t="inlineStr">
        <is>
          <t>Misiones</t>
        </is>
      </c>
      <c r="B191" s="3" t="inlineStr">
        <is>
          <t>de Escolares/Jardines</t>
        </is>
      </c>
      <c r="C191" s="5" t="n">
        <v>1</v>
      </c>
      <c r="D191" s="5">
        <f>ROUND(C191*$D$325/$C$325,0)</f>
        <v/>
      </c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 hidden="1" outlineLevel="2" ht="12.75" customHeight="1" s="156">
      <c r="A192" s="3" t="inlineStr">
        <is>
          <t>Misiones</t>
        </is>
      </c>
      <c r="B192" s="3" t="inlineStr">
        <is>
          <t>de Provisión</t>
        </is>
      </c>
      <c r="C192" s="5" t="n">
        <v>1</v>
      </c>
      <c r="D192" s="5">
        <f>ROUND(C192*$D$325/$C$325,0)</f>
        <v/>
      </c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 hidden="1" outlineLevel="2" ht="12.75" customHeight="1" s="156">
      <c r="A193" s="3" t="inlineStr">
        <is>
          <t>Misiones</t>
        </is>
      </c>
      <c r="B193" s="3" t="inlineStr">
        <is>
          <t>de Trabajo</t>
        </is>
      </c>
      <c r="C193" s="5" t="n">
        <v>4</v>
      </c>
      <c r="D193" s="5">
        <f>ROUND(C193*$D$325/$C$325,0)</f>
        <v/>
      </c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 hidden="1" outlineLevel="2" ht="12.75" customHeight="1" s="156">
      <c r="A194" s="3" t="inlineStr">
        <is>
          <t>Misiones</t>
        </is>
      </c>
      <c r="B194" s="3" t="inlineStr">
        <is>
          <t>de Vivienda</t>
        </is>
      </c>
      <c r="C194" s="5" t="n">
        <v>1</v>
      </c>
      <c r="D194" s="5">
        <f>ROUND(C194*$D$325/$C$325,0)</f>
        <v/>
      </c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 hidden="1" outlineLevel="2" ht="12.75" customHeight="1" s="156">
      <c r="A195" s="3" t="inlineStr">
        <is>
          <t>Misiones</t>
        </is>
      </c>
      <c r="B195" s="3" t="inlineStr">
        <is>
          <t>Eléctricas</t>
        </is>
      </c>
      <c r="C195" s="5" t="n">
        <v>16</v>
      </c>
      <c r="D195" s="5">
        <f>ROUND(C195*$D$325/$C$325,0)</f>
        <v/>
      </c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 hidden="1" outlineLevel="2" ht="12.75" customHeight="1" s="156">
      <c r="A196" s="3" t="inlineStr">
        <is>
          <t>Misiones</t>
        </is>
      </c>
      <c r="B196" s="3" t="inlineStr">
        <is>
          <t>Tabacalera</t>
        </is>
      </c>
      <c r="C196" s="5" t="n">
        <v>1</v>
      </c>
      <c r="D196" s="5">
        <f>ROUND(C196*$D$325/$C$325,0)</f>
        <v/>
      </c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 hidden="1" outlineLevel="2" ht="12.75" customHeight="1" s="156">
      <c r="A197" s="3" t="inlineStr">
        <is>
          <t>Misiones</t>
        </is>
      </c>
      <c r="B197" s="3" t="inlineStr">
        <is>
          <t>Yerbaleras</t>
        </is>
      </c>
      <c r="C197" s="5" t="n">
        <v>6</v>
      </c>
      <c r="D197" s="5">
        <f>ROUND(C197*$D$325/$C$325,0)</f>
        <v/>
      </c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 hidden="1" outlineLevel="1" ht="12.75" customHeight="1" s="156">
      <c r="A198" s="10" t="inlineStr">
        <is>
          <t>Total Misiones</t>
        </is>
      </c>
      <c r="B198" s="3" t="n"/>
      <c r="C198" s="5" t="n"/>
      <c r="D198" s="5">
        <f>SUBTOTAL(9,D187:D197)</f>
        <v/>
      </c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 hidden="1" outlineLevel="2" ht="12.75" customHeight="1" s="156">
      <c r="A199" s="3" t="inlineStr">
        <is>
          <t>Neuquén</t>
        </is>
      </c>
      <c r="B199" s="3" t="inlineStr">
        <is>
          <t>Ahorro/Crédito/Emprend</t>
        </is>
      </c>
      <c r="C199" s="5" t="n">
        <v>1</v>
      </c>
      <c r="D199" s="5">
        <f>ROUND(C199*$D$325/$C$325,0)</f>
        <v/>
      </c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 hidden="1" outlineLevel="2" ht="12.75" customHeight="1" s="156">
      <c r="A200" s="3" t="inlineStr">
        <is>
          <t>Neuquén</t>
        </is>
      </c>
      <c r="B200" s="3" t="inlineStr">
        <is>
          <t>de Agua</t>
        </is>
      </c>
      <c r="C200" s="5" t="n">
        <v>1</v>
      </c>
      <c r="D200" s="5">
        <f>ROUND(C200*$D$325/$C$325,0)</f>
        <v/>
      </c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 hidden="1" outlineLevel="2" ht="12.75" customHeight="1" s="156">
      <c r="A201" s="3" t="inlineStr">
        <is>
          <t>Neuquén</t>
        </is>
      </c>
      <c r="B201" s="3" t="inlineStr">
        <is>
          <t>de Consumo</t>
        </is>
      </c>
      <c r="C201" s="5" t="n">
        <v>4</v>
      </c>
      <c r="D201" s="5">
        <f>ROUND(C201*$D$325/$C$325,0)</f>
        <v/>
      </c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 hidden="1" outlineLevel="2" ht="12.75" customHeight="1" s="156">
      <c r="A202" s="3" t="inlineStr">
        <is>
          <t>Neuquén</t>
        </is>
      </c>
      <c r="B202" s="3" t="inlineStr">
        <is>
          <t>de Provisión</t>
        </is>
      </c>
      <c r="C202" s="5" t="n">
        <v>2</v>
      </c>
      <c r="D202" s="5">
        <f>ROUND(C202*$D$325/$C$325,0)</f>
        <v/>
      </c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 hidden="1" outlineLevel="2" ht="12.75" customHeight="1" s="156">
      <c r="A203" s="3" t="inlineStr">
        <is>
          <t>Neuquén</t>
        </is>
      </c>
      <c r="B203" s="3" t="inlineStr">
        <is>
          <t>de Trabajo</t>
        </is>
      </c>
      <c r="C203" s="5" t="n">
        <v>1</v>
      </c>
      <c r="D203" s="5">
        <f>ROUND(C203*$D$325/$C$325,0)</f>
        <v/>
      </c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 hidden="1" outlineLevel="2" ht="12.75" customHeight="1" s="156">
      <c r="A204" s="3" t="inlineStr">
        <is>
          <t>Neuquén</t>
        </is>
      </c>
      <c r="B204" s="3" t="inlineStr">
        <is>
          <t>de Vivienda</t>
        </is>
      </c>
      <c r="C204" s="5" t="n">
        <v>5</v>
      </c>
      <c r="D204" s="5">
        <f>ROUND(C204*$D$325/$C$325,0)</f>
        <v/>
      </c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 hidden="1" outlineLevel="2" ht="12.75" customHeight="1" s="156">
      <c r="A205" s="3" t="inlineStr">
        <is>
          <t>Neuquén</t>
        </is>
      </c>
      <c r="B205" s="3" t="inlineStr">
        <is>
          <t>Eléctricas</t>
        </is>
      </c>
      <c r="C205" s="5" t="n">
        <v>2</v>
      </c>
      <c r="D205" s="5">
        <f>ROUND(C205*$D$325/$C$325,0)</f>
        <v/>
      </c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 hidden="1" outlineLevel="2" ht="12.75" customHeight="1" s="156">
      <c r="A206" s="3" t="inlineStr">
        <is>
          <t>Neuquén</t>
        </is>
      </c>
      <c r="B206" s="3" t="inlineStr">
        <is>
          <t>Telefónicas</t>
        </is>
      </c>
      <c r="C206" s="5" t="n">
        <v>4</v>
      </c>
      <c r="D206" s="5">
        <f>ROUND(C206*$D$325/$C$325,0)</f>
        <v/>
      </c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 hidden="1" outlineLevel="2" ht="12.75" customHeight="1" s="156">
      <c r="A207" s="3" t="inlineStr">
        <is>
          <t>Neuquén</t>
        </is>
      </c>
      <c r="B207" s="3" t="inlineStr">
        <is>
          <t>Vitivinícola</t>
        </is>
      </c>
      <c r="C207" s="5" t="n">
        <v>1</v>
      </c>
      <c r="D207" s="5">
        <f>ROUND(C207*$D$325/$C$325,0)</f>
        <v/>
      </c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 hidden="1" outlineLevel="1" ht="12.75" customHeight="1" s="156">
      <c r="A208" s="10" t="inlineStr">
        <is>
          <t>Total Neuquén</t>
        </is>
      </c>
      <c r="B208" s="3" t="n"/>
      <c r="C208" s="5" t="n"/>
      <c r="D208" s="5">
        <f>SUBTOTAL(9,D199:D207)</f>
        <v/>
      </c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 hidden="1" outlineLevel="2" ht="12.75" customHeight="1" s="156">
      <c r="A209" s="3" t="inlineStr">
        <is>
          <t>Río Negro</t>
        </is>
      </c>
      <c r="B209" s="3" t="inlineStr">
        <is>
          <t>Agropecuarias</t>
        </is>
      </c>
      <c r="C209" s="5" t="n">
        <v>4</v>
      </c>
      <c r="D209" s="5">
        <f>ROUND(C209*$D$325/$C$325,0)</f>
        <v/>
      </c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 hidden="1" outlineLevel="2" ht="12.75" customHeight="1" s="156">
      <c r="A210" s="3" t="inlineStr">
        <is>
          <t>Río Negro</t>
        </is>
      </c>
      <c r="B210" s="3" t="inlineStr">
        <is>
          <t>de Agua</t>
        </is>
      </c>
      <c r="C210" s="5" t="n">
        <v>1</v>
      </c>
      <c r="D210" s="5">
        <f>ROUND(C210*$D$325/$C$325,0)</f>
        <v/>
      </c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 hidden="1" outlineLevel="2" ht="12.75" customHeight="1" s="156">
      <c r="A211" s="3" t="inlineStr">
        <is>
          <t>Río Negro</t>
        </is>
      </c>
      <c r="B211" s="3" t="inlineStr">
        <is>
          <t>de Consumo</t>
        </is>
      </c>
      <c r="C211" s="5" t="n">
        <v>9</v>
      </c>
      <c r="D211" s="5">
        <f>ROUND(C211*$D$325/$C$325,0)</f>
        <v/>
      </c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 hidden="1" outlineLevel="2" ht="12.75" customHeight="1" s="156">
      <c r="A212" s="3" t="inlineStr">
        <is>
          <t>Río Negro</t>
        </is>
      </c>
      <c r="B212" s="3" t="inlineStr">
        <is>
          <t>de Fletes/Remis/Taxis</t>
        </is>
      </c>
      <c r="C212" s="5" t="n">
        <v>3</v>
      </c>
      <c r="D212" s="5">
        <f>ROUND(C212*$D$325/$C$325,0)</f>
        <v/>
      </c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 hidden="1" outlineLevel="2" ht="12.75" customHeight="1" s="156">
      <c r="A213" s="3" t="inlineStr">
        <is>
          <t>Río Negro</t>
        </is>
      </c>
      <c r="B213" s="3" t="inlineStr">
        <is>
          <t>de Provisión</t>
        </is>
      </c>
      <c r="C213" s="5" t="n">
        <v>2</v>
      </c>
      <c r="D213" s="5">
        <f>ROUND(C213*$D$325/$C$325,0)</f>
        <v/>
      </c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 hidden="1" outlineLevel="2" ht="12.75" customHeight="1" s="156">
      <c r="A214" s="3" t="inlineStr">
        <is>
          <t>Río Negro</t>
        </is>
      </c>
      <c r="B214" s="3" t="inlineStr">
        <is>
          <t>de Salud: Medicina</t>
        </is>
      </c>
      <c r="C214" s="5" t="n">
        <v>1</v>
      </c>
      <c r="D214" s="5">
        <f>ROUND(C214*$D$325/$C$325,0)</f>
        <v/>
      </c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 hidden="1" outlineLevel="2" ht="12.75" customHeight="1" s="156">
      <c r="A215" s="3" t="inlineStr">
        <is>
          <t>Río Negro</t>
        </is>
      </c>
      <c r="B215" s="3" t="inlineStr">
        <is>
          <t>de Servicios Públicos</t>
        </is>
      </c>
      <c r="C215" s="5" t="n">
        <v>1</v>
      </c>
      <c r="D215" s="5">
        <f>ROUND(C215*$D$325/$C$325,0)</f>
        <v/>
      </c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 hidden="1" outlineLevel="2" ht="12.75" customHeight="1" s="156">
      <c r="A216" s="3" t="inlineStr">
        <is>
          <t>Río Negro</t>
        </is>
      </c>
      <c r="B216" s="3" t="inlineStr">
        <is>
          <t>de Trabajo</t>
        </is>
      </c>
      <c r="C216" s="5" t="n">
        <v>7</v>
      </c>
      <c r="D216" s="5">
        <f>ROUND(C216*$D$325/$C$325,0)</f>
        <v/>
      </c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 hidden="1" outlineLevel="2" ht="12.75" customHeight="1" s="156">
      <c r="A217" s="3" t="inlineStr">
        <is>
          <t>Río Negro</t>
        </is>
      </c>
      <c r="B217" s="3" t="inlineStr">
        <is>
          <t>de Transporte</t>
        </is>
      </c>
      <c r="C217" s="5" t="n">
        <v>2</v>
      </c>
      <c r="D217" s="5">
        <f>ROUND(C217*$D$325/$C$325,0)</f>
        <v/>
      </c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 hidden="1" outlineLevel="2" ht="12.75" customHeight="1" s="156">
      <c r="A218" s="3" t="inlineStr">
        <is>
          <t>Río Negro</t>
        </is>
      </c>
      <c r="B218" s="3" t="inlineStr">
        <is>
          <t>de Vivienda</t>
        </is>
      </c>
      <c r="C218" s="5" t="n">
        <v>5</v>
      </c>
      <c r="D218" s="5">
        <f>ROUND(C218*$D$325/$C$325,0)</f>
        <v/>
      </c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 hidden="1" outlineLevel="2" ht="12.75" customHeight="1" s="156">
      <c r="A219" s="3" t="inlineStr">
        <is>
          <t>Río Negro</t>
        </is>
      </c>
      <c r="B219" s="3" t="inlineStr">
        <is>
          <t>Eléctricas</t>
        </is>
      </c>
      <c r="C219" s="5" t="n">
        <v>4</v>
      </c>
      <c r="D219" s="5">
        <f>ROUND(C219*$D$325/$C$325,0)</f>
        <v/>
      </c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 hidden="1" outlineLevel="2" ht="12.75" customHeight="1" s="156">
      <c r="A220" s="3" t="inlineStr">
        <is>
          <t>Río Negro</t>
        </is>
      </c>
      <c r="B220" s="3" t="inlineStr">
        <is>
          <t>Frutihortícolas</t>
        </is>
      </c>
      <c r="C220" s="5" t="n">
        <v>7</v>
      </c>
      <c r="D220" s="5">
        <f>ROUND(C220*$D$325/$C$325,0)</f>
        <v/>
      </c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 hidden="1" outlineLevel="2" ht="12.75" customHeight="1" s="156">
      <c r="A221" s="3" t="inlineStr">
        <is>
          <t>Río Negro</t>
        </is>
      </c>
      <c r="B221" s="3" t="inlineStr">
        <is>
          <t>Panificadoras</t>
        </is>
      </c>
      <c r="C221" s="5" t="n">
        <v>1</v>
      </c>
      <c r="D221" s="5">
        <f>ROUND(C221*$D$325/$C$325,0)</f>
        <v/>
      </c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 hidden="1" outlineLevel="2" ht="12.75" customHeight="1" s="156">
      <c r="A222" s="3" t="inlineStr">
        <is>
          <t>Río Negro</t>
        </is>
      </c>
      <c r="B222" s="3" t="inlineStr">
        <is>
          <t>Telefónicas</t>
        </is>
      </c>
      <c r="C222" s="5" t="n">
        <v>1</v>
      </c>
      <c r="D222" s="5">
        <f>ROUND(C222*$D$325/$C$325,0)</f>
        <v/>
      </c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 hidden="1" outlineLevel="2" ht="12.75" customHeight="1" s="156">
      <c r="A223" s="3" t="inlineStr">
        <is>
          <t>Río Negro</t>
        </is>
      </c>
      <c r="B223" s="3" t="inlineStr">
        <is>
          <t>Vitivinícola</t>
        </is>
      </c>
      <c r="C223" s="5" t="n">
        <v>2</v>
      </c>
      <c r="D223" s="5">
        <f>ROUND(C223*$D$325/$C$325,0)</f>
        <v/>
      </c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 hidden="1" outlineLevel="1" ht="12.75" customHeight="1" s="156">
      <c r="A224" s="10" t="inlineStr">
        <is>
          <t>Total Río Negro</t>
        </is>
      </c>
      <c r="B224" s="3" t="n"/>
      <c r="C224" s="5" t="n"/>
      <c r="D224" s="5">
        <f>SUBTOTAL(9,D209:D223)</f>
        <v/>
      </c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 hidden="1" outlineLevel="2" ht="12.75" customHeight="1" s="156">
      <c r="A225" s="3" t="inlineStr">
        <is>
          <t>Salta</t>
        </is>
      </c>
      <c r="B225" s="3" t="inlineStr">
        <is>
          <t>Ahorro/Crédito/Emprend</t>
        </is>
      </c>
      <c r="C225" s="5" t="n">
        <v>1</v>
      </c>
      <c r="D225" s="5">
        <f>ROUND(C225*$D$325/$C$325,0)</f>
        <v/>
      </c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 hidden="1" outlineLevel="2" ht="12.75" customHeight="1" s="156">
      <c r="A226" s="3" t="inlineStr">
        <is>
          <t>Salta</t>
        </is>
      </c>
      <c r="B226" s="3" t="inlineStr">
        <is>
          <t>de Consumo</t>
        </is>
      </c>
      <c r="C226" s="5" t="n">
        <v>1</v>
      </c>
      <c r="D226" s="5">
        <f>ROUND(C226*$D$325/$C$325,0)</f>
        <v/>
      </c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 hidden="1" outlineLevel="2" ht="12.75" customHeight="1" s="156">
      <c r="A227" s="3" t="inlineStr">
        <is>
          <t>Salta</t>
        </is>
      </c>
      <c r="B227" s="3" t="inlineStr">
        <is>
          <t>de Provisión</t>
        </is>
      </c>
      <c r="C227" s="5" t="n">
        <v>1</v>
      </c>
      <c r="D227" s="5">
        <f>ROUND(C227*$D$325/$C$325,0)</f>
        <v/>
      </c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 hidden="1" outlineLevel="2" ht="12.75" customHeight="1" s="156">
      <c r="A228" s="3" t="inlineStr">
        <is>
          <t>Salta</t>
        </is>
      </c>
      <c r="B228" s="3" t="inlineStr">
        <is>
          <t>de Trabajo</t>
        </is>
      </c>
      <c r="C228" s="5" t="n">
        <v>12</v>
      </c>
      <c r="D228" s="5">
        <f>ROUND(C228*$D$325/$C$325,0)</f>
        <v/>
      </c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 hidden="1" outlineLevel="2" ht="12.75" customHeight="1" s="156">
      <c r="A229" s="3" t="inlineStr">
        <is>
          <t>Salta</t>
        </is>
      </c>
      <c r="B229" s="3" t="inlineStr">
        <is>
          <t>de Transporte</t>
        </is>
      </c>
      <c r="C229" s="5" t="n">
        <v>1</v>
      </c>
      <c r="D229" s="5">
        <f>ROUND(C229*$D$325/$C$325,0)</f>
        <v/>
      </c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 hidden="1" outlineLevel="2" ht="12.75" customHeight="1" s="156">
      <c r="A230" s="3" t="inlineStr">
        <is>
          <t>Salta</t>
        </is>
      </c>
      <c r="B230" s="3" t="inlineStr">
        <is>
          <t>de Vivienda</t>
        </is>
      </c>
      <c r="C230" s="5" t="n">
        <v>1</v>
      </c>
      <c r="D230" s="5">
        <f>ROUND(C230*$D$325/$C$325,0)</f>
        <v/>
      </c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 hidden="1" outlineLevel="2" ht="12.75" customHeight="1" s="156">
      <c r="A231" s="3" t="inlineStr">
        <is>
          <t>Salta</t>
        </is>
      </c>
      <c r="B231" s="3" t="inlineStr">
        <is>
          <t>Educación</t>
        </is>
      </c>
      <c r="C231" s="5" t="n">
        <v>1</v>
      </c>
      <c r="D231" s="5">
        <f>ROUND(C231*$D$325/$C$325,0)</f>
        <v/>
      </c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 hidden="1" outlineLevel="2" ht="12.75" customHeight="1" s="156">
      <c r="A232" s="3" t="inlineStr">
        <is>
          <t>Salta</t>
        </is>
      </c>
      <c r="B232" s="3" t="inlineStr">
        <is>
          <t>Eléctricas</t>
        </is>
      </c>
      <c r="C232" s="5" t="n">
        <v>1</v>
      </c>
      <c r="D232" s="5">
        <f>ROUND(C232*$D$325/$C$325,0)</f>
        <v/>
      </c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 hidden="1" outlineLevel="2" ht="12.75" customHeight="1" s="156">
      <c r="A233" s="3" t="inlineStr">
        <is>
          <t>Salta</t>
        </is>
      </c>
      <c r="B233" s="3" t="inlineStr">
        <is>
          <t>Ganaderas</t>
        </is>
      </c>
      <c r="C233" s="5" t="n">
        <v>1</v>
      </c>
      <c r="D233" s="5">
        <f>ROUND(C233*$D$325/$C$325,0)</f>
        <v/>
      </c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 hidden="1" outlineLevel="2" ht="12.75" customHeight="1" s="156">
      <c r="A234" s="3" t="inlineStr">
        <is>
          <t>Salta</t>
        </is>
      </c>
      <c r="B234" s="3" t="inlineStr">
        <is>
          <t>Tabacalera</t>
        </is>
      </c>
      <c r="C234" s="5" t="n">
        <v>1</v>
      </c>
      <c r="D234" s="5">
        <f>ROUND(C234*$D$325/$C$325,0)</f>
        <v/>
      </c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 hidden="1" outlineLevel="1" ht="12.75" customHeight="1" s="156">
      <c r="A235" s="10" t="inlineStr">
        <is>
          <t>Total Salta</t>
        </is>
      </c>
      <c r="B235" s="3" t="n"/>
      <c r="C235" s="5" t="n"/>
      <c r="D235" s="5">
        <f>SUBTOTAL(9,D225:D234)</f>
        <v/>
      </c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 hidden="1" outlineLevel="2" ht="12.75" customHeight="1" s="156">
      <c r="A236" s="3" t="inlineStr">
        <is>
          <t>San Juan</t>
        </is>
      </c>
      <c r="B236" s="3" t="inlineStr">
        <is>
          <t>Agropecuarias</t>
        </is>
      </c>
      <c r="C236" s="5" t="n">
        <v>2</v>
      </c>
      <c r="D236" s="5">
        <f>ROUND(C236*$D$325/$C$325,0)</f>
        <v/>
      </c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 hidden="1" outlineLevel="2" ht="12.75" customHeight="1" s="156">
      <c r="A237" s="3" t="inlineStr">
        <is>
          <t>San Juan</t>
        </is>
      </c>
      <c r="B237" s="3" t="inlineStr">
        <is>
          <t>Ahorro/Crédito/Emprend</t>
        </is>
      </c>
      <c r="C237" s="5" t="n">
        <v>1</v>
      </c>
      <c r="D237" s="5">
        <f>ROUND(C237*$D$325/$C$325,0)</f>
        <v/>
      </c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 hidden="1" outlineLevel="2" ht="12.75" customHeight="1" s="156">
      <c r="A238" s="3" t="inlineStr">
        <is>
          <t>San Juan</t>
        </is>
      </c>
      <c r="B238" s="3" t="inlineStr">
        <is>
          <t>de Consumo</t>
        </is>
      </c>
      <c r="C238" s="5" t="n">
        <v>2</v>
      </c>
      <c r="D238" s="5">
        <f>ROUND(C238*$D$325/$C$325,0)</f>
        <v/>
      </c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 hidden="1" outlineLevel="2" ht="12.75" customHeight="1" s="156">
      <c r="A239" s="3" t="inlineStr">
        <is>
          <t>San Juan</t>
        </is>
      </c>
      <c r="B239" s="3" t="inlineStr">
        <is>
          <t>de Provisión</t>
        </is>
      </c>
      <c r="C239" s="5" t="n">
        <v>1</v>
      </c>
      <c r="D239" s="5">
        <f>ROUND(C239*$D$325/$C$325,0)</f>
        <v/>
      </c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 hidden="1" outlineLevel="2" ht="12.75" customHeight="1" s="156">
      <c r="A240" s="3" t="inlineStr">
        <is>
          <t>San Juan</t>
        </is>
      </c>
      <c r="B240" s="3" t="inlineStr">
        <is>
          <t>de Salud: Farmacéuticas</t>
        </is>
      </c>
      <c r="C240" s="5" t="n">
        <v>1</v>
      </c>
      <c r="D240" s="5">
        <f>ROUND(C240*$D$325/$C$325,0)</f>
        <v/>
      </c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 hidden="1" outlineLevel="2" ht="12.75" customHeight="1" s="156">
      <c r="A241" s="3" t="inlineStr">
        <is>
          <t>San Juan</t>
        </is>
      </c>
      <c r="B241" s="3" t="inlineStr">
        <is>
          <t>de Vivienda</t>
        </is>
      </c>
      <c r="C241" s="5" t="n">
        <v>3</v>
      </c>
      <c r="D241" s="5">
        <f>ROUND(C241*$D$325/$C$325,0)</f>
        <v/>
      </c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 hidden="1" outlineLevel="2" ht="12.75" customHeight="1" s="156">
      <c r="A242" s="3" t="inlineStr">
        <is>
          <t>San Juan</t>
        </is>
      </c>
      <c r="B242" s="3" t="inlineStr">
        <is>
          <t>Eléctricas</t>
        </is>
      </c>
      <c r="C242" s="5" t="n">
        <v>7</v>
      </c>
      <c r="D242" s="5">
        <f>ROUND(C242*$D$325/$C$325,0)</f>
        <v/>
      </c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 hidden="1" outlineLevel="2" ht="12.75" customHeight="1" s="156">
      <c r="A243" s="3" t="inlineStr">
        <is>
          <t>San Juan</t>
        </is>
      </c>
      <c r="B243" s="3" t="inlineStr">
        <is>
          <t>Frutihortícolas</t>
        </is>
      </c>
      <c r="C243" s="5" t="n">
        <v>2</v>
      </c>
      <c r="D243" s="5">
        <f>ROUND(C243*$D$325/$C$325,0)</f>
        <v/>
      </c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 hidden="1" outlineLevel="2" ht="12.75" customHeight="1" s="156">
      <c r="A244" s="3" t="inlineStr">
        <is>
          <t>San Juan</t>
        </is>
      </c>
      <c r="B244" s="3" t="inlineStr">
        <is>
          <t>Vitivinícola</t>
        </is>
      </c>
      <c r="C244" s="5" t="n">
        <v>2</v>
      </c>
      <c r="D244" s="5">
        <f>ROUND(C244*$D$325/$C$325,0)</f>
        <v/>
      </c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 hidden="1" outlineLevel="1" ht="12.75" customHeight="1" s="156">
      <c r="A245" s="10" t="inlineStr">
        <is>
          <t>Total San Juan</t>
        </is>
      </c>
      <c r="B245" s="3" t="n"/>
      <c r="C245" s="5" t="n"/>
      <c r="D245" s="5">
        <f>SUBTOTAL(9,D236:D244)</f>
        <v/>
      </c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 hidden="1" outlineLevel="2" ht="12.75" customHeight="1" s="156">
      <c r="A246" s="3" t="inlineStr">
        <is>
          <t>San Luis</t>
        </is>
      </c>
      <c r="B246" s="3" t="inlineStr">
        <is>
          <t>Agropecuarias</t>
        </is>
      </c>
      <c r="C246" s="5" t="n">
        <v>2</v>
      </c>
      <c r="D246" s="5">
        <f>ROUND(C246*$D$325/$C$325,0)</f>
        <v/>
      </c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 hidden="1" outlineLevel="2" ht="12.75" customHeight="1" s="156">
      <c r="A247" s="3" t="inlineStr">
        <is>
          <t>San Luis</t>
        </is>
      </c>
      <c r="B247" s="3" t="inlineStr">
        <is>
          <t>Ahorro/Crédito/Emprend</t>
        </is>
      </c>
      <c r="C247" s="5" t="n">
        <v>2</v>
      </c>
      <c r="D247" s="5">
        <f>ROUND(C247*$D$325/$C$325,0)</f>
        <v/>
      </c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 hidden="1" outlineLevel="2" ht="12.75" customHeight="1" s="156">
      <c r="A248" s="3" t="inlineStr">
        <is>
          <t>San Luis</t>
        </is>
      </c>
      <c r="B248" s="3" t="inlineStr">
        <is>
          <t>de Agua</t>
        </is>
      </c>
      <c r="C248" s="5" t="n">
        <v>1</v>
      </c>
      <c r="D248" s="5">
        <f>ROUND(C248*$D$325/$C$325,0)</f>
        <v/>
      </c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 hidden="1" outlineLevel="2" ht="12.75" customHeight="1" s="156">
      <c r="A249" s="3" t="inlineStr">
        <is>
          <t>San Luis</t>
        </is>
      </c>
      <c r="B249" s="3" t="inlineStr">
        <is>
          <t>de Consumo</t>
        </is>
      </c>
      <c r="C249" s="5" t="n">
        <v>3</v>
      </c>
      <c r="D249" s="5">
        <f>ROUND(C249*$D$325/$C$325,0)</f>
        <v/>
      </c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 hidden="1" outlineLevel="2" ht="12.75" customHeight="1" s="156">
      <c r="A250" s="3" t="inlineStr">
        <is>
          <t>San Luis</t>
        </is>
      </c>
      <c r="B250" s="3" t="inlineStr">
        <is>
          <t>de Gas</t>
        </is>
      </c>
      <c r="C250" s="5" t="n">
        <v>1</v>
      </c>
      <c r="D250" s="5">
        <f>ROUND(C250*$D$325/$C$325,0)</f>
        <v/>
      </c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 hidden="1" outlineLevel="2" ht="12.75" customHeight="1" s="156">
      <c r="A251" s="3" t="inlineStr">
        <is>
          <t>San Luis</t>
        </is>
      </c>
      <c r="B251" s="3" t="inlineStr">
        <is>
          <t>de Trabajo</t>
        </is>
      </c>
      <c r="C251" s="5" t="n">
        <v>3</v>
      </c>
      <c r="D251" s="5">
        <f>ROUND(C251*$D$325/$C$325,0)</f>
        <v/>
      </c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 hidden="1" outlineLevel="2" ht="12.75" customHeight="1" s="156">
      <c r="A252" s="3" t="inlineStr">
        <is>
          <t>San Luis</t>
        </is>
      </c>
      <c r="B252" s="3" t="inlineStr">
        <is>
          <t>de Transporte</t>
        </is>
      </c>
      <c r="C252" s="5" t="n">
        <v>2</v>
      </c>
      <c r="D252" s="5">
        <f>ROUND(C252*$D$325/$C$325,0)</f>
        <v/>
      </c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 hidden="1" outlineLevel="2" ht="12.75" customHeight="1" s="156">
      <c r="A253" s="3" t="inlineStr">
        <is>
          <t>San Luis</t>
        </is>
      </c>
      <c r="B253" s="3" t="inlineStr">
        <is>
          <t>Eléctricas</t>
        </is>
      </c>
      <c r="C253" s="5" t="n">
        <v>1</v>
      </c>
      <c r="D253" s="5">
        <f>ROUND(C253*$D$325/$C$325,0)</f>
        <v/>
      </c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 hidden="1" outlineLevel="2" ht="12.75" customHeight="1" s="156">
      <c r="A254" s="3" t="inlineStr">
        <is>
          <t>San Luis</t>
        </is>
      </c>
      <c r="B254" s="3" t="inlineStr">
        <is>
          <t>Telefónicas</t>
        </is>
      </c>
      <c r="C254" s="5" t="n">
        <v>4</v>
      </c>
      <c r="D254" s="5">
        <f>ROUND(C254*$D$325/$C$325,0)</f>
        <v/>
      </c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 hidden="1" outlineLevel="1" ht="12.75" customHeight="1" s="156">
      <c r="A255" s="10" t="inlineStr">
        <is>
          <t>Total San Luis</t>
        </is>
      </c>
      <c r="B255" s="3" t="n"/>
      <c r="C255" s="5" t="n"/>
      <c r="D255" s="5">
        <f>SUBTOTAL(9,D246:D254)</f>
        <v/>
      </c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 hidden="1" outlineLevel="2" ht="12.75" customHeight="1" s="156">
      <c r="A256" s="3" t="inlineStr">
        <is>
          <t>Santa Cruz</t>
        </is>
      </c>
      <c r="B256" s="3" t="inlineStr">
        <is>
          <t>Agropecuarias</t>
        </is>
      </c>
      <c r="C256" s="5" t="n">
        <v>3</v>
      </c>
      <c r="D256" s="5">
        <f>ROUND(C256*$D$325/$C$325,0)</f>
        <v/>
      </c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 hidden="1" outlineLevel="2" ht="12.75" customHeight="1" s="156">
      <c r="A257" s="3" t="inlineStr">
        <is>
          <t>Santa Cruz</t>
        </is>
      </c>
      <c r="B257" s="3" t="inlineStr">
        <is>
          <t>de Consumo</t>
        </is>
      </c>
      <c r="C257" s="5" t="n">
        <v>1</v>
      </c>
      <c r="D257" s="5">
        <f>ROUND(C257*$D$325/$C$325,0)</f>
        <v/>
      </c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 hidden="1" outlineLevel="2" ht="12.75" customHeight="1" s="156">
      <c r="A258" s="3" t="inlineStr">
        <is>
          <t>Santa Cruz</t>
        </is>
      </c>
      <c r="B258" s="3" t="inlineStr">
        <is>
          <t>de Escolares/Jardines</t>
        </is>
      </c>
      <c r="C258" s="5" t="n">
        <v>1</v>
      </c>
      <c r="D258" s="5">
        <f>ROUND(C258*$D$325/$C$325,0)</f>
        <v/>
      </c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 hidden="1" outlineLevel="2" ht="12.75" customHeight="1" s="156">
      <c r="A259" s="3" t="inlineStr">
        <is>
          <t>Santa Cruz</t>
        </is>
      </c>
      <c r="B259" s="3" t="inlineStr">
        <is>
          <t>de Fletes/Remis/Taxis</t>
        </is>
      </c>
      <c r="C259" s="5" t="n">
        <v>1</v>
      </c>
      <c r="D259" s="5">
        <f>ROUND(C259*$D$325/$C$325,0)</f>
        <v/>
      </c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 hidden="1" outlineLevel="2" ht="12.75" customHeight="1" s="156">
      <c r="A260" s="3" t="inlineStr">
        <is>
          <t>Santa Cruz</t>
        </is>
      </c>
      <c r="B260" s="3" t="inlineStr">
        <is>
          <t>de Provisión</t>
        </is>
      </c>
      <c r="C260" s="5" t="n">
        <v>1</v>
      </c>
      <c r="D260" s="5">
        <f>ROUND(C260*$D$325/$C$325,0)</f>
        <v/>
      </c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 hidden="1" outlineLevel="2" ht="12.75" customHeight="1" s="156">
      <c r="A261" s="3" t="inlineStr">
        <is>
          <t>Santa Cruz</t>
        </is>
      </c>
      <c r="B261" s="3" t="inlineStr">
        <is>
          <t>de Trabajo</t>
        </is>
      </c>
      <c r="C261" s="5" t="n">
        <v>6</v>
      </c>
      <c r="D261" s="5">
        <f>ROUND(C261*$D$325/$C$325,0)</f>
        <v/>
      </c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 hidden="1" outlineLevel="2" ht="12.75" customHeight="1" s="156">
      <c r="A262" s="3" t="inlineStr">
        <is>
          <t>Santa Cruz</t>
        </is>
      </c>
      <c r="B262" s="3" t="inlineStr">
        <is>
          <t>de Transporte</t>
        </is>
      </c>
      <c r="C262" s="5" t="n">
        <v>2</v>
      </c>
      <c r="D262" s="5">
        <f>ROUND(C262*$D$325/$C$325,0)</f>
        <v/>
      </c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 hidden="1" outlineLevel="2" ht="12.75" customHeight="1" s="156">
      <c r="A263" s="3" t="inlineStr">
        <is>
          <t>Santa Cruz</t>
        </is>
      </c>
      <c r="B263" s="3" t="inlineStr">
        <is>
          <t>Frutihortícolas</t>
        </is>
      </c>
      <c r="C263" s="5" t="n">
        <v>1</v>
      </c>
      <c r="D263" s="5">
        <f>ROUND(C263*$D$325/$C$325,0)</f>
        <v/>
      </c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 hidden="1" outlineLevel="2" ht="12.75" customHeight="1" s="156">
      <c r="A264" s="3" t="inlineStr">
        <is>
          <t>Santa Cruz</t>
        </is>
      </c>
      <c r="B264" s="3" t="inlineStr">
        <is>
          <t>Ganaderas</t>
        </is>
      </c>
      <c r="C264" s="5" t="n">
        <v>2</v>
      </c>
      <c r="D264" s="5">
        <f>ROUND(C264*$D$325/$C$325,0)</f>
        <v/>
      </c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 hidden="1" outlineLevel="2" ht="12.75" customHeight="1" s="156">
      <c r="A265" s="3" t="inlineStr">
        <is>
          <t>Santa Cruz</t>
        </is>
      </c>
      <c r="B265" s="3" t="inlineStr">
        <is>
          <t>Telefónicas</t>
        </is>
      </c>
      <c r="C265" s="5" t="n">
        <v>7</v>
      </c>
      <c r="D265" s="5">
        <f>ROUND(C265*$D$325/$C$325,0)</f>
        <v/>
      </c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 hidden="1" outlineLevel="1" ht="12.75" customHeight="1" s="156">
      <c r="A266" s="10" t="inlineStr">
        <is>
          <t>Total Santa Cruz</t>
        </is>
      </c>
      <c r="B266" s="3" t="n"/>
      <c r="C266" s="5" t="n"/>
      <c r="D266" s="5">
        <f>SUBTOTAL(9,D256:D265)</f>
        <v/>
      </c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 hidden="1" outlineLevel="2" ht="12.75" customHeight="1" s="156">
      <c r="A267" s="3" t="inlineStr">
        <is>
          <t>Santa Fe</t>
        </is>
      </c>
      <c r="B267" s="3" t="inlineStr">
        <is>
          <t>Agropecuarias</t>
        </is>
      </c>
      <c r="C267" s="5" t="n">
        <v>130</v>
      </c>
      <c r="D267" s="5">
        <f>ROUND(C267*$D$325/$C$325,0)</f>
        <v/>
      </c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 hidden="1" outlineLevel="2" ht="12.75" customHeight="1" s="156">
      <c r="A268" s="3" t="inlineStr">
        <is>
          <t>Santa Fe</t>
        </is>
      </c>
      <c r="B268" s="3" t="inlineStr">
        <is>
          <t>Ahorro/Crédito/Emprend</t>
        </is>
      </c>
      <c r="C268" s="5" t="n">
        <v>5</v>
      </c>
      <c r="D268" s="5">
        <f>ROUND(C268*$D$325/$C$325,0)</f>
        <v/>
      </c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 hidden="1" outlineLevel="2" ht="12.75" customHeight="1" s="156">
      <c r="A269" s="3" t="inlineStr">
        <is>
          <t>Santa Fe</t>
        </is>
      </c>
      <c r="B269" s="3" t="inlineStr">
        <is>
          <t>de Agua</t>
        </is>
      </c>
      <c r="C269" s="5" t="n">
        <v>40</v>
      </c>
      <c r="D269" s="5">
        <f>ROUND(C269*$D$325/$C$325,0)</f>
        <v/>
      </c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 hidden="1" outlineLevel="2" ht="12.75" customHeight="1" s="156">
      <c r="A270" s="3" t="inlineStr">
        <is>
          <t>Santa Fe</t>
        </is>
      </c>
      <c r="B270" s="3" t="inlineStr">
        <is>
          <t>de Asistencia Social</t>
        </is>
      </c>
      <c r="C270" s="5" t="n">
        <v>8</v>
      </c>
      <c r="D270" s="5">
        <f>ROUND(C270*$D$325/$C$325,0)</f>
        <v/>
      </c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 hidden="1" outlineLevel="2" ht="12.75" customHeight="1" s="156">
      <c r="A271" s="3" t="inlineStr">
        <is>
          <t>Santa Fe</t>
        </is>
      </c>
      <c r="B271" s="3" t="inlineStr">
        <is>
          <t>de Carniceros</t>
        </is>
      </c>
      <c r="C271" s="5" t="n">
        <v>1</v>
      </c>
      <c r="D271" s="5">
        <f>ROUND(C271*$D$325/$C$325,0)</f>
        <v/>
      </c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 hidden="1" outlineLevel="2" ht="12.75" customHeight="1" s="156">
      <c r="A272" s="3" t="inlineStr">
        <is>
          <t>Santa Fe</t>
        </is>
      </c>
      <c r="B272" s="3" t="inlineStr">
        <is>
          <t>de Consumo</t>
        </is>
      </c>
      <c r="C272" s="5" t="n">
        <v>25</v>
      </c>
      <c r="D272" s="5">
        <f>ROUND(C272*$D$325/$C$325,0)</f>
        <v/>
      </c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 hidden="1" outlineLevel="2" ht="12.75" customHeight="1" s="156">
      <c r="A273" s="3" t="inlineStr">
        <is>
          <t>Santa Fe</t>
        </is>
      </c>
      <c r="B273" s="3" t="inlineStr">
        <is>
          <t>de Escolares/Jardines</t>
        </is>
      </c>
      <c r="C273" s="5" t="n">
        <v>2</v>
      </c>
      <c r="D273" s="5">
        <f>ROUND(C273*$D$325/$C$325,0)</f>
        <v/>
      </c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 hidden="1" outlineLevel="2" ht="12.75" customHeight="1" s="156">
      <c r="A274" s="3" t="inlineStr">
        <is>
          <t>Santa Fe</t>
        </is>
      </c>
      <c r="B274" s="3" t="inlineStr">
        <is>
          <t>de Fletes/Remis/Taxis</t>
        </is>
      </c>
      <c r="C274" s="5" t="n">
        <v>3</v>
      </c>
      <c r="D274" s="5">
        <f>ROUND(C274*$D$325/$C$325,0)</f>
        <v/>
      </c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 hidden="1" outlineLevel="2" ht="12.75" customHeight="1" s="156">
      <c r="A275" s="3" t="inlineStr">
        <is>
          <t>Santa Fe</t>
        </is>
      </c>
      <c r="B275" s="3" t="inlineStr">
        <is>
          <t>de Gas</t>
        </is>
      </c>
      <c r="C275" s="5" t="n">
        <v>1</v>
      </c>
      <c r="D275" s="5">
        <f>ROUND(C275*$D$325/$C$325,0)</f>
        <v/>
      </c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 hidden="1" outlineLevel="2" ht="12.75" customHeight="1" s="156">
      <c r="A276" s="3" t="inlineStr">
        <is>
          <t>Santa Fe</t>
        </is>
      </c>
      <c r="B276" s="3" t="inlineStr">
        <is>
          <t>de Policía</t>
        </is>
      </c>
      <c r="C276" s="5" t="n">
        <v>1</v>
      </c>
      <c r="D276" s="5">
        <f>ROUND(C276*$D$325/$C$325,0)</f>
        <v/>
      </c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 hidden="1" outlineLevel="2" ht="12.75" customHeight="1" s="156">
      <c r="A277" s="3" t="inlineStr">
        <is>
          <t>Santa Fe</t>
        </is>
      </c>
      <c r="B277" s="3" t="inlineStr">
        <is>
          <t>de Provisión</t>
        </is>
      </c>
      <c r="C277" s="5" t="n">
        <v>29</v>
      </c>
      <c r="D277" s="5">
        <f>ROUND(C277*$D$325/$C$325,0)</f>
        <v/>
      </c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 hidden="1" outlineLevel="2" ht="12.75" customHeight="1" s="156">
      <c r="A278" s="3" t="inlineStr">
        <is>
          <t>Santa Fe</t>
        </is>
      </c>
      <c r="B278" s="3" t="inlineStr">
        <is>
          <t>de Salud: Medicina</t>
        </is>
      </c>
      <c r="C278" s="5" t="n">
        <v>7</v>
      </c>
      <c r="D278" s="5">
        <f>ROUND(C278*$D$325/$C$325,0)</f>
        <v/>
      </c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 hidden="1" outlineLevel="2" ht="12.75" customHeight="1" s="156">
      <c r="A279" s="3" t="inlineStr">
        <is>
          <t>Santa Fe</t>
        </is>
      </c>
      <c r="B279" s="3" t="inlineStr">
        <is>
          <t>de Salud: Salud</t>
        </is>
      </c>
      <c r="C279" s="5" t="n">
        <v>1</v>
      </c>
      <c r="D279" s="5">
        <f>ROUND(C279*$D$325/$C$325,0)</f>
        <v/>
      </c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 hidden="1" outlineLevel="2" ht="12.75" customHeight="1" s="156">
      <c r="A280" s="3" t="inlineStr">
        <is>
          <t>Santa Fe</t>
        </is>
      </c>
      <c r="B280" s="3" t="inlineStr">
        <is>
          <t>de Seguros</t>
        </is>
      </c>
      <c r="C280" s="5" t="n">
        <v>4</v>
      </c>
      <c r="D280" s="5">
        <f>ROUND(C280*$D$325/$C$325,0)</f>
        <v/>
      </c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 hidden="1" outlineLevel="2" ht="12.75" customHeight="1" s="156">
      <c r="A281" s="3" t="inlineStr">
        <is>
          <t>Santa Fe</t>
        </is>
      </c>
      <c r="B281" s="3" t="inlineStr">
        <is>
          <t>de Servicios Públicos</t>
        </is>
      </c>
      <c r="C281" s="5" t="n">
        <v>38</v>
      </c>
      <c r="D281" s="5">
        <f>ROUND(C281*$D$325/$C$325,0)</f>
        <v/>
      </c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 hidden="1" outlineLevel="2" ht="12.75" customHeight="1" s="156">
      <c r="A282" s="3" t="inlineStr">
        <is>
          <t>Santa Fe</t>
        </is>
      </c>
      <c r="B282" s="3" t="inlineStr">
        <is>
          <t>de Trabajo</t>
        </is>
      </c>
      <c r="C282" s="5" t="n">
        <v>29</v>
      </c>
      <c r="D282" s="5">
        <f>ROUND(C282*$D$325/$C$325,0)</f>
        <v/>
      </c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 hidden="1" outlineLevel="2" ht="12.75" customHeight="1" s="156">
      <c r="A283" s="3" t="inlineStr">
        <is>
          <t>Santa Fe</t>
        </is>
      </c>
      <c r="B283" s="3" t="inlineStr">
        <is>
          <t>de Transporte</t>
        </is>
      </c>
      <c r="C283" s="5" t="n">
        <v>4</v>
      </c>
      <c r="D283" s="5">
        <f>ROUND(C283*$D$325/$C$325,0)</f>
        <v/>
      </c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 hidden="1" outlineLevel="2" ht="12.75" customHeight="1" s="156">
      <c r="A284" s="3" t="inlineStr">
        <is>
          <t>Santa Fe</t>
        </is>
      </c>
      <c r="B284" s="3" t="inlineStr">
        <is>
          <t>de Vivienda</t>
        </is>
      </c>
      <c r="C284" s="5" t="n">
        <v>16</v>
      </c>
      <c r="D284" s="5">
        <f>ROUND(C284*$D$325/$C$325,0)</f>
        <v/>
      </c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 hidden="1" outlineLevel="2" ht="12.75" customHeight="1" s="156">
      <c r="A285" s="3" t="inlineStr">
        <is>
          <t>Santa Fe</t>
        </is>
      </c>
      <c r="B285" s="3" t="inlineStr">
        <is>
          <t>Eléctricas</t>
        </is>
      </c>
      <c r="C285" s="5" t="n">
        <v>56</v>
      </c>
      <c r="D285" s="5">
        <f>ROUND(C285*$D$325/$C$325,0)</f>
        <v/>
      </c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 hidden="1" outlineLevel="2" ht="12.75" customHeight="1" s="156">
      <c r="A286" s="3" t="inlineStr">
        <is>
          <t>Santa Fe</t>
        </is>
      </c>
      <c r="B286" s="3" t="inlineStr">
        <is>
          <t>Frutihortícolas</t>
        </is>
      </c>
      <c r="C286" s="5" t="n">
        <v>1</v>
      </c>
      <c r="D286" s="5">
        <f>ROUND(C286*$D$325/$C$325,0)</f>
        <v/>
      </c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 hidden="1" outlineLevel="2" ht="12.75" customHeight="1" s="156">
      <c r="A287" s="3" t="inlineStr">
        <is>
          <t>Santa Fe</t>
        </is>
      </c>
      <c r="B287" s="3" t="inlineStr">
        <is>
          <t>Ganaderas</t>
        </is>
      </c>
      <c r="C287" s="5" t="n">
        <v>76</v>
      </c>
      <c r="D287" s="5">
        <f>ROUND(C287*$D$325/$C$325,0)</f>
        <v/>
      </c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 hidden="1" outlineLevel="2" ht="12.75" customHeight="1" s="156">
      <c r="A288" s="3" t="inlineStr">
        <is>
          <t>Santa Fe</t>
        </is>
      </c>
      <c r="B288" s="3" t="inlineStr">
        <is>
          <t>Telefónicas</t>
        </is>
      </c>
      <c r="C288" s="5" t="n">
        <v>47</v>
      </c>
      <c r="D288" s="5">
        <f>ROUND(C288*$D$325/$C$325,0)</f>
        <v/>
      </c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 hidden="1" outlineLevel="2" ht="12.75" customHeight="1" s="156">
      <c r="A289" s="3" t="inlineStr">
        <is>
          <t>Santa Fe</t>
        </is>
      </c>
      <c r="B289" s="3" t="inlineStr">
        <is>
          <t>Vitivinícola</t>
        </is>
      </c>
      <c r="C289" s="5" t="n">
        <v>1</v>
      </c>
      <c r="D289" s="5">
        <f>ROUND(C289*$D$325/$C$325,0)</f>
        <v/>
      </c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 hidden="1" outlineLevel="1" ht="12.75" customHeight="1" s="156">
      <c r="A290" s="10" t="inlineStr">
        <is>
          <t>Total Santa Fe</t>
        </is>
      </c>
      <c r="B290" s="3" t="n"/>
      <c r="C290" s="5" t="n"/>
      <c r="D290" s="5">
        <f>SUBTOTAL(9,D267:D289)</f>
        <v/>
      </c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 hidden="1" outlineLevel="2" ht="12.75" customHeight="1" s="156">
      <c r="A291" s="3" t="inlineStr">
        <is>
          <t>Santiago del</t>
        </is>
      </c>
      <c r="B291" s="3" t="inlineStr">
        <is>
          <t>Agropecuarias</t>
        </is>
      </c>
      <c r="C291" s="5" t="n">
        <v>2</v>
      </c>
      <c r="D291" s="5">
        <f>ROUND(C291*$D$325/$C$325,0)</f>
        <v/>
      </c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 hidden="1" outlineLevel="2" ht="12.75" customHeight="1" s="156">
      <c r="A292" s="3" t="inlineStr">
        <is>
          <t>Santiago del</t>
        </is>
      </c>
      <c r="B292" s="3" t="inlineStr">
        <is>
          <t>Ahorro/Crédito/Emprend</t>
        </is>
      </c>
      <c r="C292" s="5" t="n">
        <v>2</v>
      </c>
      <c r="D292" s="5">
        <f>ROUND(C292*$D$325/$C$325,0)</f>
        <v/>
      </c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 hidden="1" outlineLevel="2" ht="12.75" customHeight="1" s="156">
      <c r="A293" s="3" t="inlineStr">
        <is>
          <t>Santiago del</t>
        </is>
      </c>
      <c r="B293" s="3" t="inlineStr">
        <is>
          <t>de Agua</t>
        </is>
      </c>
      <c r="C293" s="5" t="n">
        <v>4</v>
      </c>
      <c r="D293" s="5">
        <f>ROUND(C293*$D$325/$C$325,0)</f>
        <v/>
      </c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 hidden="1" outlineLevel="2" ht="12.75" customHeight="1" s="156">
      <c r="A294" s="3" t="inlineStr">
        <is>
          <t>Santiago del</t>
        </is>
      </c>
      <c r="B294" s="3" t="inlineStr">
        <is>
          <t>de Consumo</t>
        </is>
      </c>
      <c r="C294" s="5" t="n">
        <v>1</v>
      </c>
      <c r="D294" s="5">
        <f>ROUND(C294*$D$325/$C$325,0)</f>
        <v/>
      </c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 hidden="1" outlineLevel="2" ht="12.75" customHeight="1" s="156">
      <c r="A295" s="3" t="inlineStr">
        <is>
          <t>Santiago del</t>
        </is>
      </c>
      <c r="B295" s="3" t="inlineStr">
        <is>
          <t>de Fletes/Remis/Taxis</t>
        </is>
      </c>
      <c r="C295" s="5" t="n">
        <v>3</v>
      </c>
      <c r="D295" s="5">
        <f>ROUND(C295*$D$325/$C$325,0)</f>
        <v/>
      </c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 hidden="1" outlineLevel="2" ht="12.75" customHeight="1" s="156">
      <c r="A296" s="3" t="inlineStr">
        <is>
          <t>Santiago del</t>
        </is>
      </c>
      <c r="B296" s="3" t="inlineStr">
        <is>
          <t>de Servicios Públicos</t>
        </is>
      </c>
      <c r="C296" s="5" t="n">
        <v>1</v>
      </c>
      <c r="D296" s="5">
        <f>ROUND(C296*$D$325/$C$325,0)</f>
        <v/>
      </c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 hidden="1" outlineLevel="2" ht="12.75" customHeight="1" s="156">
      <c r="A297" s="3" t="inlineStr">
        <is>
          <t>Santiago del</t>
        </is>
      </c>
      <c r="B297" s="3" t="inlineStr">
        <is>
          <t>de Trabajo</t>
        </is>
      </c>
      <c r="C297" s="5" t="n">
        <v>3</v>
      </c>
      <c r="D297" s="5">
        <f>ROUND(C297*$D$325/$C$325,0)</f>
        <v/>
      </c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 hidden="1" outlineLevel="2" ht="12.75" customHeight="1" s="156">
      <c r="A298" s="3" t="inlineStr">
        <is>
          <t>Santiago del</t>
        </is>
      </c>
      <c r="B298" s="3" t="inlineStr">
        <is>
          <t>de Transporte</t>
        </is>
      </c>
      <c r="C298" s="5" t="n">
        <v>6</v>
      </c>
      <c r="D298" s="5">
        <f>ROUND(C298*$D$325/$C$325,0)</f>
        <v/>
      </c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 hidden="1" outlineLevel="2" ht="12.75" customHeight="1" s="156">
      <c r="A299" s="3" t="inlineStr">
        <is>
          <t>Santiago del</t>
        </is>
      </c>
      <c r="B299" s="3" t="inlineStr">
        <is>
          <t>de Vivienda</t>
        </is>
      </c>
      <c r="C299" s="5" t="n">
        <v>1</v>
      </c>
      <c r="D299" s="5">
        <f>ROUND(C299*$D$325/$C$325,0)</f>
        <v/>
      </c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 hidden="1" outlineLevel="2" ht="12.75" customHeight="1" s="156">
      <c r="A300" s="3" t="inlineStr">
        <is>
          <t>Santiago del</t>
        </is>
      </c>
      <c r="B300" s="3" t="inlineStr">
        <is>
          <t>Educación</t>
        </is>
      </c>
      <c r="C300" s="5" t="n">
        <v>2</v>
      </c>
      <c r="D300" s="5">
        <f>ROUND(C300*$D$325/$C$325,0)</f>
        <v/>
      </c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 hidden="1" outlineLevel="2" ht="12.75" customHeight="1" s="156">
      <c r="A301" s="3" t="inlineStr">
        <is>
          <t>Santiago del</t>
        </is>
      </c>
      <c r="B301" s="3" t="inlineStr">
        <is>
          <t>Ganaderas</t>
        </is>
      </c>
      <c r="C301" s="5" t="n">
        <v>1</v>
      </c>
      <c r="D301" s="5">
        <f>ROUND(C301*$D$325/$C$325,0)</f>
        <v/>
      </c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 hidden="1" outlineLevel="2" ht="12.75" customHeight="1" s="156">
      <c r="A302" s="3" t="inlineStr">
        <is>
          <t>Santiago del</t>
        </is>
      </c>
      <c r="B302" s="3" t="inlineStr">
        <is>
          <t>Telefónicas</t>
        </is>
      </c>
      <c r="C302" s="5" t="n">
        <v>1</v>
      </c>
      <c r="D302" s="5">
        <f>ROUND(C302*$D$325/$C$325,0)</f>
        <v/>
      </c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 hidden="1" outlineLevel="1" ht="12.75" customHeight="1" s="156">
      <c r="A303" s="10" t="inlineStr">
        <is>
          <t>Total Santiago del</t>
        </is>
      </c>
      <c r="B303" s="3" t="n"/>
      <c r="C303" s="5" t="n"/>
      <c r="D303" s="5">
        <f>SUBTOTAL(9,D291:D302)</f>
        <v/>
      </c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 hidden="1" outlineLevel="2" ht="12.75" customHeight="1" s="156">
      <c r="A304" s="3" t="inlineStr">
        <is>
          <t>Tierra del Fu</t>
        </is>
      </c>
      <c r="B304" s="3" t="inlineStr">
        <is>
          <t>de Asistencia Social</t>
        </is>
      </c>
      <c r="C304" s="5" t="n">
        <v>2</v>
      </c>
      <c r="D304" s="5">
        <f>ROUND(C304*$D$325/$C$325,0)</f>
        <v/>
      </c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 hidden="1" outlineLevel="2" ht="12.75" customHeight="1" s="156">
      <c r="A305" s="3" t="inlineStr">
        <is>
          <t>Tierra del Fu</t>
        </is>
      </c>
      <c r="B305" s="3" t="inlineStr">
        <is>
          <t>de Consumo</t>
        </is>
      </c>
      <c r="C305" s="5" t="n">
        <v>2</v>
      </c>
      <c r="D305" s="5">
        <f>ROUND(C305*$D$325/$C$325,0)</f>
        <v/>
      </c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 hidden="1" outlineLevel="2" ht="12.75" customHeight="1" s="156">
      <c r="A306" s="3" t="inlineStr">
        <is>
          <t>Tierra del Fu</t>
        </is>
      </c>
      <c r="B306" s="3" t="inlineStr">
        <is>
          <t>de Fletes/Remis/Taxis</t>
        </is>
      </c>
      <c r="C306" s="5" t="n">
        <v>2</v>
      </c>
      <c r="D306" s="5">
        <f>ROUND(C306*$D$325/$C$325,0)</f>
        <v/>
      </c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 hidden="1" outlineLevel="2" ht="12.75" customHeight="1" s="156">
      <c r="A307" s="3" t="inlineStr">
        <is>
          <t>Tierra del Fu</t>
        </is>
      </c>
      <c r="B307" s="3" t="inlineStr">
        <is>
          <t>de Trabajo</t>
        </is>
      </c>
      <c r="C307" s="5" t="n">
        <v>5</v>
      </c>
      <c r="D307" s="5">
        <f>ROUND(C307*$D$325/$C$325,0)</f>
        <v/>
      </c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 hidden="1" outlineLevel="2" ht="12.75" customHeight="1" s="156">
      <c r="A308" s="3" t="inlineStr">
        <is>
          <t>Tierra del Fu</t>
        </is>
      </c>
      <c r="B308" s="3" t="inlineStr">
        <is>
          <t>de Transporte</t>
        </is>
      </c>
      <c r="C308" s="5" t="n">
        <v>4</v>
      </c>
      <c r="D308" s="5">
        <f>ROUND(C308*$D$325/$C$325,0)</f>
        <v/>
      </c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 hidden="1" outlineLevel="2" ht="12.75" customHeight="1" s="156">
      <c r="A309" s="3" t="inlineStr">
        <is>
          <t>Tierra del Fu</t>
        </is>
      </c>
      <c r="B309" s="3" t="inlineStr">
        <is>
          <t>Eléctricas</t>
        </is>
      </c>
      <c r="C309" s="5" t="n">
        <v>1</v>
      </c>
      <c r="D309" s="5">
        <f>ROUND(C309*$D$325/$C$325,0)</f>
        <v/>
      </c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 hidden="1" outlineLevel="1" ht="12.75" customHeight="1" s="156">
      <c r="A310" s="10" t="inlineStr">
        <is>
          <t>Total Tierra del Fu</t>
        </is>
      </c>
      <c r="B310" s="3" t="n"/>
      <c r="C310" s="5" t="n"/>
      <c r="D310" s="5">
        <f>SUBTOTAL(9,D304:D309)</f>
        <v/>
      </c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 hidden="1" outlineLevel="2" ht="12.75" customHeight="1" s="156">
      <c r="A311" s="3" t="inlineStr">
        <is>
          <t>Tucumán</t>
        </is>
      </c>
      <c r="B311" s="3" t="inlineStr">
        <is>
          <t>Agropecuarias</t>
        </is>
      </c>
      <c r="C311" s="5" t="n">
        <v>12</v>
      </c>
      <c r="D311" s="5">
        <f>ROUND(C311*$D$325/$C$325,0)</f>
        <v/>
      </c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 hidden="1" outlineLevel="2" ht="12.75" customHeight="1" s="156">
      <c r="A312" s="3" t="inlineStr">
        <is>
          <t>Tucumán</t>
        </is>
      </c>
      <c r="B312" s="3" t="inlineStr">
        <is>
          <t>Ahorro/Crédito/Emprend</t>
        </is>
      </c>
      <c r="C312" s="5" t="n">
        <v>4</v>
      </c>
      <c r="D312" s="5">
        <f>ROUND(C312*$D$325/$C$325,0)</f>
        <v/>
      </c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 hidden="1" outlineLevel="2" ht="12.75" customHeight="1" s="156">
      <c r="A313" s="3" t="inlineStr">
        <is>
          <t>Tucumán</t>
        </is>
      </c>
      <c r="B313" s="3" t="inlineStr">
        <is>
          <t>de Agua</t>
        </is>
      </c>
      <c r="C313" s="5" t="n">
        <v>1</v>
      </c>
      <c r="D313" s="5">
        <f>ROUND(C313*$D$325/$C$325,0)</f>
        <v/>
      </c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 hidden="1" outlineLevel="2" ht="12.75" customHeight="1" s="156">
      <c r="A314" s="3" t="inlineStr">
        <is>
          <t>Tucumán</t>
        </is>
      </c>
      <c r="B314" s="3" t="inlineStr">
        <is>
          <t>de Consumo</t>
        </is>
      </c>
      <c r="C314" s="5" t="n">
        <v>4</v>
      </c>
      <c r="D314" s="5">
        <f>ROUND(C314*$D$325/$C$325,0)</f>
        <v/>
      </c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 hidden="1" outlineLevel="2" ht="12.75" customHeight="1" s="156">
      <c r="A315" s="3" t="inlineStr">
        <is>
          <t>Tucumán</t>
        </is>
      </c>
      <c r="B315" s="3" t="inlineStr">
        <is>
          <t>de Escolares/Jardines</t>
        </is>
      </c>
      <c r="C315" s="5" t="n">
        <v>1</v>
      </c>
      <c r="D315" s="5">
        <f>ROUND(C315*$D$325/$C$325,0)</f>
        <v/>
      </c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 hidden="1" outlineLevel="2" ht="12.75" customHeight="1" s="156">
      <c r="A316" s="3" t="inlineStr">
        <is>
          <t>Tucumán</t>
        </is>
      </c>
      <c r="B316" s="3" t="inlineStr">
        <is>
          <t>de Fletes/Remis/Taxis</t>
        </is>
      </c>
      <c r="C316" s="5" t="n">
        <v>3</v>
      </c>
      <c r="D316" s="5">
        <f>ROUND(C316*$D$325/$C$325,0)</f>
        <v/>
      </c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 hidden="1" outlineLevel="2" ht="12.75" customHeight="1" s="156">
      <c r="A317" s="3" t="inlineStr">
        <is>
          <t>Tucumán</t>
        </is>
      </c>
      <c r="B317" s="3" t="inlineStr">
        <is>
          <t>de Gas</t>
        </is>
      </c>
      <c r="C317" s="5" t="n">
        <v>1</v>
      </c>
      <c r="D317" s="5">
        <f>ROUND(C317*$D$325/$C$325,0)</f>
        <v/>
      </c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 hidden="1" outlineLevel="2" ht="12.75" customHeight="1" s="156">
      <c r="A318" s="3" t="inlineStr">
        <is>
          <t>Tucumán</t>
        </is>
      </c>
      <c r="B318" s="3" t="inlineStr">
        <is>
          <t>de Provisión</t>
        </is>
      </c>
      <c r="C318" s="5" t="n">
        <v>4</v>
      </c>
      <c r="D318" s="5">
        <f>ROUND(C318*$D$325/$C$325,0)</f>
        <v/>
      </c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 hidden="1" outlineLevel="2" ht="12.75" customHeight="1" s="156">
      <c r="A319" s="3" t="inlineStr">
        <is>
          <t>Tucumán</t>
        </is>
      </c>
      <c r="B319" s="3" t="inlineStr">
        <is>
          <t>de Trabajo</t>
        </is>
      </c>
      <c r="C319" s="5" t="n">
        <v>8</v>
      </c>
      <c r="D319" s="5">
        <f>ROUND(C319*$D$325/$C$325,0)</f>
        <v/>
      </c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 hidden="1" outlineLevel="2" ht="12.75" customHeight="1" s="156">
      <c r="A320" s="3" t="inlineStr">
        <is>
          <t>Tucumán</t>
        </is>
      </c>
      <c r="B320" s="3" t="inlineStr">
        <is>
          <t>de Transporte</t>
        </is>
      </c>
      <c r="C320" s="5" t="n">
        <v>2</v>
      </c>
      <c r="D320" s="5">
        <f>ROUND(C320*$D$325/$C$325,0)</f>
        <v/>
      </c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 hidden="1" outlineLevel="2" ht="12.75" customHeight="1" s="156">
      <c r="A321" s="3" t="inlineStr">
        <is>
          <t>Tucumán</t>
        </is>
      </c>
      <c r="B321" s="3" t="inlineStr">
        <is>
          <t>de Vivienda</t>
        </is>
      </c>
      <c r="C321" s="5" t="n">
        <v>1</v>
      </c>
      <c r="D321" s="5">
        <f>ROUND(C321*$D$325/$C$325,0)</f>
        <v/>
      </c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 hidden="1" outlineLevel="2" ht="12.75" customHeight="1" s="156">
      <c r="A322" s="3" t="inlineStr">
        <is>
          <t>Tucumán</t>
        </is>
      </c>
      <c r="B322" s="3" t="inlineStr">
        <is>
          <t>Ganaderas</t>
        </is>
      </c>
      <c r="C322" s="5" t="n">
        <v>2</v>
      </c>
      <c r="D322" s="5">
        <f>ROUND(C322*$D$325/$C$325,0)</f>
        <v/>
      </c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 hidden="1" outlineLevel="1" ht="12.75" customHeight="1" s="156">
      <c r="A323" s="11" t="inlineStr">
        <is>
          <t>Total Tucumán</t>
        </is>
      </c>
      <c r="B323" s="12" t="n"/>
      <c r="C323" s="13" t="n"/>
      <c r="D323" s="13">
        <f>SUBTOTAL(9,D311:D322)</f>
        <v/>
      </c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 collapsed="1" ht="12.75" customHeight="1" s="156">
      <c r="A324" s="11" t="inlineStr">
        <is>
          <t>Total general</t>
        </is>
      </c>
      <c r="B324" s="12" t="n"/>
      <c r="C324" s="13" t="n"/>
      <c r="D324" s="13">
        <f>SUBTOTAL(9,D2:D322)</f>
        <v/>
      </c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 ht="12.75" customHeight="1" s="156">
      <c r="A325" s="2" t="n"/>
      <c r="B325" s="6" t="inlineStr">
        <is>
          <t>Total</t>
        </is>
      </c>
      <c r="C325" s="6">
        <f>SUM(C2:C322)</f>
        <v/>
      </c>
      <c r="D325" s="6">
        <f>'Total de rubros por Provincia'!D177</f>
        <v/>
      </c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 ht="12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 ht="12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 ht="12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 ht="12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 ht="12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 ht="12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 ht="12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 ht="12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 ht="12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 ht="12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 ht="12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 ht="12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 ht="12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 ht="12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 ht="12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 ht="12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 ht="12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 ht="12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 ht="12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 ht="12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 ht="12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 ht="12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 ht="12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 ht="12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 ht="12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 ht="12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 ht="12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 ht="12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 ht="12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 ht="12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 ht="12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 ht="12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 ht="12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 ht="12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 ht="12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 ht="12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 ht="12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 ht="12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 ht="12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 ht="12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 ht="12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 ht="12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 ht="12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 ht="12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 ht="12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 ht="12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 ht="12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 ht="12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 ht="12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 ht="12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 ht="12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 ht="12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 ht="12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</row>
    <row r="379" ht="12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</row>
    <row r="380" ht="12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</row>
    <row r="381" ht="12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</row>
    <row r="382" ht="12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</row>
    <row r="383" ht="12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</row>
    <row r="384" ht="12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</row>
    <row r="385" ht="12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</row>
    <row r="386" ht="12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</row>
    <row r="387" ht="12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</row>
    <row r="388" ht="12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</row>
    <row r="389" ht="12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</row>
    <row r="390" ht="12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</row>
    <row r="391" ht="12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</row>
    <row r="392" ht="12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</row>
    <row r="393" ht="12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</row>
    <row r="394" ht="12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</row>
    <row r="395" ht="12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</row>
    <row r="396" ht="12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</row>
    <row r="397" ht="12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</row>
    <row r="398" ht="12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</row>
    <row r="399" ht="12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</row>
    <row r="400" ht="12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</row>
    <row r="401" ht="12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</row>
    <row r="402" ht="12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</row>
    <row r="403" ht="12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</row>
    <row r="404" ht="12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</row>
    <row r="405" ht="12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</row>
    <row r="406" ht="12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</row>
    <row r="407" ht="12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</row>
    <row r="408" ht="12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</row>
    <row r="409" ht="12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</row>
    <row r="410" ht="12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</row>
    <row r="411" ht="12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</row>
    <row r="412" ht="12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</row>
    <row r="413" ht="12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</row>
    <row r="414" ht="12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</row>
    <row r="415" ht="12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</row>
    <row r="416" ht="12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</row>
    <row r="417" ht="12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</row>
    <row r="418" ht="12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</row>
    <row r="419" ht="12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</row>
    <row r="420" ht="12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</row>
    <row r="421" ht="12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</row>
    <row r="422" ht="12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</row>
    <row r="423" ht="12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</row>
    <row r="424" ht="12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</row>
    <row r="425" ht="12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</row>
    <row r="426" ht="12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</row>
    <row r="427" ht="12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</row>
    <row r="428" ht="12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</row>
    <row r="429" ht="12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</row>
    <row r="430" ht="12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</row>
    <row r="431" ht="12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</row>
    <row r="432" ht="12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</row>
    <row r="433" ht="12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</row>
    <row r="434" ht="12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</row>
    <row r="435" ht="12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</row>
    <row r="436" ht="12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</row>
    <row r="437" ht="12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</row>
    <row r="438" ht="12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</row>
    <row r="439" ht="12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</row>
    <row r="440" ht="12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</row>
    <row r="441" ht="12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</row>
    <row r="442" ht="12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</row>
    <row r="443" ht="12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</row>
    <row r="444" ht="12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</row>
    <row r="445" ht="12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</row>
    <row r="446" ht="12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</row>
    <row r="447" ht="12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</row>
    <row r="448" ht="12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</row>
    <row r="449" ht="12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</row>
    <row r="450" ht="12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</row>
    <row r="451" ht="12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</row>
    <row r="452" ht="12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</row>
    <row r="453" ht="12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</row>
    <row r="454" ht="12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</row>
    <row r="455" ht="12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</row>
    <row r="456" ht="12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</row>
    <row r="457" ht="12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</row>
    <row r="458" ht="12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</row>
    <row r="459" ht="12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</row>
    <row r="460" ht="12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</row>
    <row r="461" ht="12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</row>
    <row r="462" ht="12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</row>
    <row r="463" ht="12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</row>
    <row r="464" ht="12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</row>
    <row r="465" ht="12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</row>
    <row r="466" ht="12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</row>
    <row r="467" ht="12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</row>
    <row r="468" ht="12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</row>
    <row r="469" ht="12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</row>
    <row r="470" ht="12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</row>
    <row r="471" ht="12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</row>
    <row r="472" ht="12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</row>
    <row r="473" ht="12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</row>
    <row r="474" ht="12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</row>
    <row r="475" ht="12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</row>
    <row r="476" ht="12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</row>
    <row r="477" ht="12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</row>
    <row r="478" ht="12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</row>
    <row r="479" ht="12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</row>
    <row r="480" ht="12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</row>
    <row r="481" ht="12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</row>
    <row r="482" ht="12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</row>
    <row r="483" ht="12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</row>
    <row r="484" ht="12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</row>
    <row r="485" ht="12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</row>
    <row r="486" ht="12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</row>
    <row r="487" ht="12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</row>
    <row r="488" ht="12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</row>
    <row r="489" ht="12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</row>
    <row r="490" ht="12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</row>
    <row r="491" ht="12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</row>
    <row r="492" ht="12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</row>
    <row r="493" ht="12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</row>
    <row r="494" ht="12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</row>
    <row r="495" ht="12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</row>
    <row r="496" ht="12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</row>
    <row r="497" ht="12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</row>
    <row r="498" ht="12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</row>
    <row r="499" ht="12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</row>
    <row r="500" ht="12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</row>
    <row r="501" ht="12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</row>
    <row r="502" ht="12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</row>
    <row r="503" ht="12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</row>
    <row r="504" ht="12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</row>
    <row r="505" ht="12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</row>
    <row r="506" ht="12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</row>
    <row r="507" ht="12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</row>
    <row r="508" ht="12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</row>
    <row r="509" ht="12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</row>
    <row r="510" ht="12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</row>
    <row r="511" ht="12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</row>
    <row r="512" ht="12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</row>
    <row r="513" ht="12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</row>
    <row r="514" ht="12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</row>
    <row r="515" ht="12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</row>
    <row r="516" ht="12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</row>
    <row r="517" ht="12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</row>
    <row r="518" ht="12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</row>
    <row r="519" ht="12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</row>
    <row r="520" ht="12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</row>
    <row r="521" ht="12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</row>
    <row r="522" ht="12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</row>
    <row r="523" ht="12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</row>
    <row r="524" ht="12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</row>
    <row r="525" ht="12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</row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2"/>
  <sheetViews>
    <sheetView showGridLines="0" tabSelected="1" zoomScale="112" workbookViewId="0">
      <selection activeCell="A2" sqref="A2"/>
    </sheetView>
  </sheetViews>
  <sheetFormatPr baseColWidth="10" defaultColWidth="14.5" defaultRowHeight="15" customHeight="1"/>
  <cols>
    <col width="39.5" customWidth="1" style="156" min="1" max="1"/>
    <col width="19.33203125" customWidth="1" style="156" min="2" max="2"/>
    <col width="13" customWidth="1" style="156" min="3" max="3"/>
    <col width="9.1640625" customWidth="1" style="156" min="4" max="4"/>
    <col width="9.6640625" customWidth="1" style="156" min="5" max="5"/>
    <col width="9.1640625" customWidth="1" style="156" min="6" max="6"/>
    <col width="10.5" customWidth="1" style="156" min="7" max="7"/>
    <col width="10" customWidth="1" style="156" min="8" max="8"/>
    <col width="10.83203125" customWidth="1" style="156" min="9" max="9"/>
    <col width="12.1640625" customWidth="1" style="156" min="10" max="10"/>
    <col width="15.5" customWidth="1" style="156" min="11" max="11"/>
    <col width="8.33203125" customWidth="1" style="156" min="12" max="18"/>
    <col width="9.1640625" customWidth="1" style="156" min="19" max="19"/>
    <col width="7.83203125" customWidth="1" style="156" min="20" max="20"/>
    <col width="9.1640625" customWidth="1" style="156" min="21" max="21"/>
  </cols>
  <sheetData>
    <row r="1" ht="12.75" customHeight="1" s="156">
      <c r="A1" s="14" t="inlineStr">
        <is>
          <t>YERBANALYTICS</t>
        </is>
      </c>
      <c r="B1" s="15" t="n"/>
    </row>
    <row r="2" ht="20" customHeight="1" s="156">
      <c r="A2" s="16" t="inlineStr">
        <is>
          <t>Sistema de monitoreo, diagnostico y actuacion para viveros de yerba mate</t>
        </is>
      </c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</row>
    <row r="3" ht="18" customHeight="1" s="156">
      <c r="A3" s="19" t="inlineStr">
        <is>
          <t>Estado de resultados</t>
        </is>
      </c>
      <c r="B3" s="19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</row>
    <row r="4" ht="18" customHeight="1" s="156">
      <c r="A4" s="19" t="n"/>
      <c r="B4" s="19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</row>
    <row r="5" ht="13" customHeight="1" s="156">
      <c r="A5" s="192" t="inlineStr">
        <is>
          <t>Inversión Inicial:</t>
        </is>
      </c>
      <c r="B5" s="20" t="n">
        <v>79000000</v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</row>
    <row r="6" ht="12.75" customHeight="1" s="156">
      <c r="A6" s="21" t="n"/>
      <c r="B6" s="21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</row>
    <row r="7" ht="12.75" customHeight="1" s="156">
      <c r="A7" s="193" t="inlineStr">
        <is>
          <t>Período</t>
        </is>
      </c>
      <c r="B7" s="256" t="inlineStr">
        <is>
          <t xml:space="preserve">Año 0 </t>
        </is>
      </c>
      <c r="C7" s="257" t="n"/>
      <c r="D7" s="257" t="n"/>
      <c r="E7" s="257" t="n"/>
      <c r="F7" s="257" t="n"/>
      <c r="G7" s="257" t="n"/>
      <c r="H7" s="257" t="n"/>
      <c r="I7" s="258" t="n"/>
      <c r="J7" s="23" t="inlineStr">
        <is>
          <t>Año 1</t>
        </is>
      </c>
      <c r="K7" s="195" t="inlineStr">
        <is>
          <t>Año 2</t>
        </is>
      </c>
    </row>
    <row r="8" ht="12.75" customHeight="1" s="156">
      <c r="A8" s="196" t="inlineStr">
        <is>
          <t>Concepto</t>
        </is>
      </c>
      <c r="B8" s="24" t="inlineStr">
        <is>
          <t>Start-up</t>
        </is>
      </c>
      <c r="C8" s="239" t="n">
        <v>1</v>
      </c>
      <c r="D8" s="25" t="n">
        <v>2</v>
      </c>
      <c r="E8" s="25" t="n">
        <v>3</v>
      </c>
      <c r="F8" s="25" t="n">
        <v>4</v>
      </c>
      <c r="G8" s="25" t="n">
        <v>5</v>
      </c>
      <c r="H8" s="25" t="n">
        <v>6</v>
      </c>
      <c r="I8" s="26" t="n">
        <v>7</v>
      </c>
      <c r="J8" s="197" t="inlineStr">
        <is>
          <t>1-12</t>
        </is>
      </c>
      <c r="K8" s="198" t="inlineStr">
        <is>
          <t>1-12</t>
        </is>
      </c>
    </row>
    <row r="9" ht="12.75" customHeight="1" s="156">
      <c r="A9" s="199" t="inlineStr">
        <is>
          <t>Ingresos</t>
        </is>
      </c>
      <c r="B9" s="27">
        <f>Ingresos!B18</f>
        <v/>
      </c>
      <c r="C9" s="27">
        <f>Ingresos!C18</f>
        <v/>
      </c>
      <c r="D9" s="27">
        <f>Ingresos!D18</f>
        <v/>
      </c>
      <c r="E9" s="27">
        <f>Ingresos!E18</f>
        <v/>
      </c>
      <c r="F9" s="27">
        <f>Ingresos!F18</f>
        <v/>
      </c>
      <c r="G9" s="27">
        <f>Ingresos!G18</f>
        <v/>
      </c>
      <c r="H9" s="27">
        <f>Ingresos!H18</f>
        <v/>
      </c>
      <c r="I9" s="27">
        <f>Ingresos!I18</f>
        <v/>
      </c>
      <c r="J9" s="27">
        <f>Ingresos!J18</f>
        <v/>
      </c>
      <c r="K9" s="27">
        <f>Ingresos!K18</f>
        <v/>
      </c>
    </row>
    <row r="10" ht="12.75" customHeight="1" s="156">
      <c r="A10" s="200" t="inlineStr">
        <is>
          <t>Egresos</t>
        </is>
      </c>
      <c r="B10" s="28">
        <f>Egresos!B21</f>
        <v/>
      </c>
      <c r="C10" s="28">
        <f>Egresos!C21</f>
        <v/>
      </c>
      <c r="D10" s="28">
        <f>Egresos!D21</f>
        <v/>
      </c>
      <c r="E10" s="28">
        <f>Egresos!E21</f>
        <v/>
      </c>
      <c r="F10" s="28">
        <f>Egresos!F21</f>
        <v/>
      </c>
      <c r="G10" s="28">
        <f>Egresos!G21</f>
        <v/>
      </c>
      <c r="H10" s="28">
        <f>Egresos!H21</f>
        <v/>
      </c>
      <c r="I10" s="28">
        <f>Egresos!I21</f>
        <v/>
      </c>
      <c r="J10" s="28">
        <f>Egresos!J21</f>
        <v/>
      </c>
      <c r="K10" s="28">
        <f>Egresos!K21</f>
        <v/>
      </c>
    </row>
    <row r="11" ht="12.75" customHeight="1" s="156">
      <c r="A11" s="29" t="inlineStr">
        <is>
          <t xml:space="preserve">Resultado Bruto </t>
        </is>
      </c>
      <c r="B11" s="30">
        <f>B9-B10</f>
        <v/>
      </c>
      <c r="C11" s="31">
        <f>C9-C10</f>
        <v/>
      </c>
      <c r="D11" s="31">
        <f>D9-D10</f>
        <v/>
      </c>
      <c r="E11" s="31">
        <f>E9-E10</f>
        <v/>
      </c>
      <c r="F11" s="31">
        <f>F9-F10</f>
        <v/>
      </c>
      <c r="G11" s="31">
        <f>G9-G10</f>
        <v/>
      </c>
      <c r="H11" s="31">
        <f>H9-H10</f>
        <v/>
      </c>
      <c r="I11" s="31">
        <f>I9-I10</f>
        <v/>
      </c>
      <c r="J11" s="31">
        <f>J9-J10</f>
        <v/>
      </c>
      <c r="K11" s="31">
        <f>K9-K10</f>
        <v/>
      </c>
    </row>
    <row r="12" ht="12.75" customHeight="1" s="156">
      <c r="A12" s="199" t="inlineStr">
        <is>
          <t>Impuesto a los Ingresos Brutos (3,8%)</t>
        </is>
      </c>
      <c r="B12" s="27">
        <f>B9*-3.8%</f>
        <v/>
      </c>
      <c r="C12" s="27">
        <f>C9*-3.8%</f>
        <v/>
      </c>
      <c r="D12" s="27">
        <f>D9*-3.8%</f>
        <v/>
      </c>
      <c r="E12" s="27">
        <f>E9*-3.8%</f>
        <v/>
      </c>
      <c r="F12" s="27">
        <f>F9*-3.8%</f>
        <v/>
      </c>
      <c r="G12" s="27">
        <f>G9*-3.8%</f>
        <v/>
      </c>
      <c r="H12" s="27">
        <f>H9*-3.8%</f>
        <v/>
      </c>
      <c r="I12" s="27">
        <f>I9*-3.8%</f>
        <v/>
      </c>
      <c r="J12" s="27">
        <f>J9*-3.8%</f>
        <v/>
      </c>
      <c r="K12" s="27">
        <f>K9*-3.8%</f>
        <v/>
      </c>
    </row>
    <row r="13" ht="12.75" customHeight="1" s="156">
      <c r="A13" s="199" t="inlineStr">
        <is>
          <t>Impuesto a los débitos y créditos bancarios</t>
        </is>
      </c>
      <c r="B13" s="27">
        <f>IF((B9-B10)&lt;0,(B9-B10)*0.016,(B9-B10)*-0.016)</f>
        <v/>
      </c>
      <c r="C13" s="27">
        <f>IF((C9-C10)&lt;0,(C9-C10)*0.016,(C9-C10)*-0.016)</f>
        <v/>
      </c>
      <c r="D13" s="27">
        <f>IF((D9-D10)&lt;0,(D9-D10)*0.016,(D9-D10)*-0.016)</f>
        <v/>
      </c>
      <c r="E13" s="27">
        <f>IF((E9-E10)&lt;0,(E9-E10)*0.016,(E9-E10)*-0.016)</f>
        <v/>
      </c>
      <c r="F13" s="27">
        <f>IF((F9-F10)&lt;0,(F9-F10)*0.016,(F9-F10)*-0.016)</f>
        <v/>
      </c>
      <c r="G13" s="27">
        <f>IF((G9-G10)&lt;0,(G9-G10)*0.016,(G9-G10)*-0.016)</f>
        <v/>
      </c>
      <c r="H13" s="27">
        <f>IF((H9-H10)&lt;0,(H9-H10)*0.016,(H9-H10)*-0.016)</f>
        <v/>
      </c>
      <c r="I13" s="27">
        <f>IF((I9-I10)&lt;0,(I9-I10)*0.016,(I9-I10)*-0.016)</f>
        <v/>
      </c>
      <c r="J13" s="27">
        <f>IF((J9-J10)&lt;0,(J9-J10)*0.016,(J9-J10)*-0.016)</f>
        <v/>
      </c>
      <c r="K13" s="27">
        <f>IF((K9-K10)&lt;0,(K9-K10)*0.016,(K9-K10)*-0.016)</f>
        <v/>
      </c>
    </row>
    <row r="14" ht="12.75" customHeight="1" s="156">
      <c r="A14" s="29" t="inlineStr">
        <is>
          <t>Resultado Neto antes de impuestos e intereses</t>
        </is>
      </c>
      <c r="B14" s="30">
        <f>IF(B11&lt;0,B11+B12+B13,B11-B12-B13)</f>
        <v/>
      </c>
      <c r="C14" s="31">
        <f>IF(C11&lt;0,C11+C12+C13,C11-C12-C13)</f>
        <v/>
      </c>
      <c r="D14" s="31">
        <f>IF(D11&lt;0,D11+D12+D13,D11-D12-D13)</f>
        <v/>
      </c>
      <c r="E14" s="31">
        <f>IF(E11&lt;0,E11+E12+E13,E11-E12-E13)</f>
        <v/>
      </c>
      <c r="F14" s="31">
        <f>IF(F11&lt;0,F11+F12+F13,F11-F12-F13)</f>
        <v/>
      </c>
      <c r="G14" s="31">
        <f>IF(G11&lt;0,G11+G12+G13,G11-G12-G13)</f>
        <v/>
      </c>
      <c r="H14" s="31">
        <f>IF(H11&lt;0,H11+H12+H13,H11-H12-H13)</f>
        <v/>
      </c>
      <c r="I14" s="31">
        <f>IF(I11&lt;0,I11+I12+I13,I11-I12-I13)</f>
        <v/>
      </c>
      <c r="J14" s="31">
        <f>IF(J11&lt;0,J11+J12+J13,J11-J12-J13)</f>
        <v/>
      </c>
      <c r="K14" s="32">
        <f>IF(K11&lt;0,K11+K12+K13,K11-K12-K13)</f>
        <v/>
      </c>
    </row>
    <row r="15" ht="12.75" customHeight="1" s="156">
      <c r="A15" s="199" t="inlineStr">
        <is>
          <t>Gastos financieros (amortizaciones, creditos etc)</t>
        </is>
      </c>
      <c r="B15" s="27" t="inlineStr">
        <is>
          <t>N/A</t>
        </is>
      </c>
      <c r="C15" s="27">
        <f>Amortizaciones!C20</f>
        <v/>
      </c>
      <c r="D15" s="27">
        <f>C15</f>
        <v/>
      </c>
      <c r="E15" s="27">
        <f>D15</f>
        <v/>
      </c>
      <c r="F15" s="27">
        <f>E15</f>
        <v/>
      </c>
      <c r="G15" s="27">
        <f>F15</f>
        <v/>
      </c>
      <c r="H15" s="27">
        <f>G15</f>
        <v/>
      </c>
      <c r="I15" s="27">
        <f>H15</f>
        <v/>
      </c>
      <c r="J15" s="27" t="n">
        <v>0</v>
      </c>
      <c r="K15" s="27" t="n">
        <v>0</v>
      </c>
    </row>
    <row r="16" ht="12.75" customHeight="1" s="156">
      <c r="A16" s="29" t="inlineStr">
        <is>
          <t>Resultado Neto antes de impuesto a las ganancias</t>
        </is>
      </c>
      <c r="B16" s="30">
        <f>B14</f>
        <v/>
      </c>
      <c r="C16" s="31">
        <f>IF(C14&lt;0,C14+C15,C14-C15)</f>
        <v/>
      </c>
      <c r="D16" s="31">
        <f>IF(D14&lt;0,D14+D15,D14-D15)</f>
        <v/>
      </c>
      <c r="E16" s="31">
        <f>IF(E14&lt;0,E14+E15,E14-E15)</f>
        <v/>
      </c>
      <c r="F16" s="31">
        <f>IF(F14&lt;0,F14+F15,F14-F15)</f>
        <v/>
      </c>
      <c r="G16" s="31">
        <f>IF(G14&lt;0,G14+G15,G14-G15)</f>
        <v/>
      </c>
      <c r="H16" s="31">
        <f>IF(H14&lt;0,H14+H15,H14-H15)</f>
        <v/>
      </c>
      <c r="I16" s="31">
        <f>IF(I14&lt;0,I14+I15,I14-I15)</f>
        <v/>
      </c>
      <c r="J16" s="31">
        <f>IF(J14&lt;0,J14+J15,J14-J15)</f>
        <v/>
      </c>
      <c r="K16" s="32">
        <f>IF(K14&lt;0,K14+K15,K14-K15)</f>
        <v/>
      </c>
    </row>
    <row r="17" ht="12.75" customHeight="1" s="156">
      <c r="A17" s="199" t="inlineStr">
        <is>
          <t>Impuesto a las ganancias (35%)</t>
        </is>
      </c>
      <c r="B17" s="27" t="inlineStr">
        <is>
          <t>N/A</t>
        </is>
      </c>
      <c r="C17" s="27">
        <f>IF(C16&lt;0,0,C16*35%)</f>
        <v/>
      </c>
      <c r="D17" s="27">
        <f>IF(D16&lt;0,0,D16*35%)</f>
        <v/>
      </c>
      <c r="E17" s="27">
        <f>IF(E16&lt;0,0,E16*35%)</f>
        <v/>
      </c>
      <c r="F17" s="27">
        <f>IF(F16&lt;0,0,F16*35%)</f>
        <v/>
      </c>
      <c r="G17" s="27">
        <f>IF(G16&lt;0,0,G16*35%)</f>
        <v/>
      </c>
      <c r="H17" s="27">
        <f>IF(H16&lt;0,0,H16*35%)</f>
        <v/>
      </c>
      <c r="I17" s="27">
        <f>IF(I16&lt;0,0,I16*35%)</f>
        <v/>
      </c>
      <c r="J17" s="27">
        <f>IF(J16&lt;0,0,J16*35%)</f>
        <v/>
      </c>
      <c r="K17" s="27">
        <f>IF(K16&lt;0,0,K16*35%)</f>
        <v/>
      </c>
    </row>
    <row r="18" ht="12.75" customHeight="1" s="156">
      <c r="A18" s="33" t="inlineStr">
        <is>
          <t>Resultado Neto Acumulado</t>
        </is>
      </c>
      <c r="B18" s="30">
        <f>B16</f>
        <v/>
      </c>
      <c r="C18" s="31">
        <f>B18+C16-C17</f>
        <v/>
      </c>
      <c r="D18" s="31">
        <f>C18+D16-D17</f>
        <v/>
      </c>
      <c r="E18" s="31">
        <f>D18+E16-E17</f>
        <v/>
      </c>
      <c r="F18" s="31">
        <f>E18+F16-F17</f>
        <v/>
      </c>
      <c r="G18" s="31">
        <f>F18+G16-G17</f>
        <v/>
      </c>
      <c r="H18" s="31">
        <f>G18+H16-H17</f>
        <v/>
      </c>
      <c r="I18" s="31">
        <f>H18+I16-I17</f>
        <v/>
      </c>
      <c r="J18" s="31">
        <f>J16-J17</f>
        <v/>
      </c>
      <c r="K18" s="31">
        <f>K16-K17</f>
        <v/>
      </c>
    </row>
    <row r="19" ht="12.75" customHeight="1" s="156">
      <c r="A19" s="34" t="n"/>
      <c r="B19" s="34" t="n"/>
      <c r="C19" s="259" t="n"/>
      <c r="D19" s="259" t="n"/>
      <c r="E19" s="259" t="n"/>
      <c r="F19" s="259" t="n"/>
      <c r="L19" s="259" t="n"/>
      <c r="M19" s="259" t="n"/>
      <c r="N19" s="259" t="n"/>
      <c r="O19" s="259" t="n"/>
      <c r="P19" s="259" t="n"/>
      <c r="Q19" s="259" t="n"/>
      <c r="R19" s="259" t="n"/>
      <c r="S19" s="259" t="n"/>
      <c r="T19" s="259" t="n"/>
      <c r="U19" s="259" t="n"/>
    </row>
    <row r="20" ht="25" customHeight="1" s="156">
      <c r="A20" s="192" t="inlineStr">
        <is>
          <t>Resultado Final Acumulado Descontado</t>
        </is>
      </c>
      <c r="B20" s="260">
        <f>SUM(I18:K18)</f>
        <v/>
      </c>
      <c r="C20" s="261" t="inlineStr">
        <is>
          <t>Tasa de corte:</t>
        </is>
      </c>
      <c r="D20" s="262" t="n"/>
      <c r="E20" s="37" t="n">
        <v>0.3</v>
      </c>
      <c r="F20" s="263" t="n"/>
      <c r="H20" s="264" t="inlineStr">
        <is>
          <t>Inversion inicial</t>
        </is>
      </c>
      <c r="I20" s="264" t="inlineStr">
        <is>
          <t>Año 0</t>
        </is>
      </c>
      <c r="J20" s="264" t="inlineStr">
        <is>
          <t>Año 1</t>
        </is>
      </c>
      <c r="K20" s="264" t="inlineStr">
        <is>
          <t>Año 2</t>
        </is>
      </c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</row>
    <row r="21" ht="23.25" customHeight="1" s="156">
      <c r="A21" s="34" t="n"/>
      <c r="B21" s="34" t="n"/>
      <c r="C21" s="40" t="n"/>
      <c r="D21" s="40" t="n"/>
      <c r="E21" s="40" t="n"/>
      <c r="F21" s="40" t="n"/>
      <c r="G21" s="264" t="inlineStr">
        <is>
          <t>Flujo de fondo</t>
        </is>
      </c>
      <c r="H21" s="265">
        <f>-B5</f>
        <v/>
      </c>
      <c r="I21" s="265">
        <f>I18</f>
        <v/>
      </c>
      <c r="J21" s="265">
        <f>J18</f>
        <v/>
      </c>
      <c r="K21" s="265">
        <f>K18</f>
        <v/>
      </c>
      <c r="L21" s="266" t="n"/>
      <c r="M21" s="266" t="n"/>
      <c r="N21" s="266" t="n"/>
      <c r="O21" s="266" t="n"/>
      <c r="P21" s="266" t="n"/>
      <c r="Q21" s="266" t="n"/>
      <c r="R21" s="266" t="n"/>
      <c r="S21" s="266" t="n"/>
      <c r="T21" s="266" t="n"/>
      <c r="U21" s="266" t="n"/>
    </row>
    <row r="22" ht="21" customHeight="1" s="156">
      <c r="A22" s="43" t="inlineStr">
        <is>
          <t>Valor Neto Actual</t>
        </is>
      </c>
      <c r="B22" s="267">
        <f t="array" ref="B22">NPV(E20,H21:K21)</f>
        <v/>
      </c>
      <c r="C22" s="18" t="n"/>
      <c r="D22" s="18" t="n"/>
      <c r="E22" s="18" t="n"/>
      <c r="F22" s="18" t="n"/>
      <c r="G22" s="268" t="n"/>
      <c r="H22" s="18" t="n"/>
      <c r="I22" s="18" t="n"/>
      <c r="J22" s="18" t="n"/>
      <c r="K22" s="269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</row>
    <row r="23" ht="12.75" customHeight="1" s="156">
      <c r="A23" s="18" t="n"/>
      <c r="B23" s="270" t="n"/>
      <c r="C23" s="18" t="n"/>
      <c r="D23" s="18" t="n"/>
      <c r="E23" s="18" t="n"/>
      <c r="F23" s="47" t="n"/>
      <c r="G23" s="47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</row>
    <row r="24" ht="21.75" customHeight="1" s="156">
      <c r="A24" s="192" t="inlineStr">
        <is>
          <t>Tasa Interna de Retorno</t>
        </is>
      </c>
      <c r="B24" s="271">
        <f>IRR(H21:K21)</f>
        <v/>
      </c>
      <c r="C24" s="18" t="n"/>
      <c r="D24" s="18" t="n"/>
      <c r="E24" s="18" t="n"/>
      <c r="F24" s="18" t="n"/>
      <c r="G24" s="49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</row>
    <row r="25" ht="12.75" customHeight="1" s="156"/>
    <row r="26" ht="12.75" customHeight="1" s="156">
      <c r="B26" s="50" t="n"/>
      <c r="C26" s="272" t="n"/>
    </row>
    <row r="27" ht="12.75" customHeight="1" s="156">
      <c r="B27" s="50" t="n"/>
    </row>
    <row r="28" ht="12.75" customHeight="1" s="156"/>
    <row r="29" ht="12.75" customHeight="1" s="156"/>
    <row r="30" ht="12.75" customHeight="1" s="156"/>
    <row r="31" ht="12.75" customHeight="1" s="156"/>
    <row r="32" ht="12.75" customHeight="1" s="156"/>
    <row r="33" ht="12.75" customHeight="1" s="156"/>
    <row r="34" ht="12.75" customHeight="1" s="156"/>
    <row r="35" ht="12.75" customHeight="1" s="156"/>
    <row r="36" ht="12.75" customHeight="1" s="156"/>
    <row r="37" ht="12.75" customHeight="1" s="156"/>
    <row r="38" ht="12.75" customHeight="1" s="156"/>
    <row r="39" ht="12.75" customHeight="1" s="156"/>
    <row r="40" ht="12.75" customHeight="1" s="156"/>
    <row r="41" ht="12.75" customHeight="1" s="156"/>
    <row r="42" ht="12.75" customHeight="1" s="156"/>
    <row r="43" ht="12.75" customHeight="1" s="156"/>
    <row r="44" ht="12.75" customHeight="1" s="156"/>
    <row r="45" ht="12.75" customHeight="1" s="156"/>
    <row r="46" ht="12.75" customHeight="1" s="156"/>
    <row r="47" ht="12.75" customHeight="1" s="156"/>
    <row r="48" ht="12.75" customHeight="1" s="156"/>
    <row r="49" ht="12.75" customHeight="1" s="156"/>
    <row r="50" ht="12.75" customHeight="1" s="156"/>
    <row r="51" ht="12.75" customHeight="1" s="156"/>
    <row r="52" ht="12.75" customHeight="1" s="156"/>
    <row r="53" ht="12.75" customHeight="1" s="156"/>
    <row r="54" ht="12.75" customHeight="1" s="156"/>
    <row r="55" ht="12.75" customHeight="1" s="156"/>
    <row r="56" ht="12.75" customHeight="1" s="156"/>
    <row r="57" ht="12.75" customHeight="1" s="156"/>
    <row r="58" ht="12.75" customHeight="1" s="156"/>
    <row r="59" ht="12.75" customHeight="1" s="156"/>
    <row r="60" ht="12.75" customHeight="1" s="156"/>
    <row r="61" ht="12.75" customHeight="1" s="156"/>
    <row r="62" ht="12.75" customHeight="1" s="156"/>
    <row r="63" ht="12.75" customHeight="1" s="156"/>
    <row r="64" ht="12.75" customHeight="1" s="156"/>
    <row r="65" ht="12.75" customHeight="1" s="156"/>
    <row r="66" ht="12.75" customHeight="1" s="156"/>
    <row r="67" ht="12.75" customHeight="1" s="156"/>
    <row r="68" ht="12.75" customHeight="1" s="156"/>
    <row r="69" ht="12.75" customHeight="1" s="156"/>
    <row r="70" ht="12.75" customHeight="1" s="156"/>
    <row r="71" ht="12.75" customHeight="1" s="156"/>
    <row r="72" ht="12.75" customHeight="1" s="156"/>
    <row r="73" ht="12.75" customHeight="1" s="156"/>
    <row r="74" ht="12.75" customHeight="1" s="156"/>
    <row r="75" ht="12.75" customHeight="1" s="156"/>
    <row r="76" ht="12.75" customHeight="1" s="156"/>
    <row r="77" ht="12.75" customHeight="1" s="156"/>
    <row r="78" ht="12.75" customHeight="1" s="156"/>
    <row r="79" ht="12.75" customHeight="1" s="156"/>
    <row r="80" ht="12.75" customHeight="1" s="156"/>
    <row r="81" ht="12.75" customHeight="1" s="156"/>
    <row r="82" ht="12.75" customHeight="1" s="156"/>
    <row r="83" ht="12.75" customHeight="1" s="156"/>
    <row r="84" ht="12.75" customHeight="1" s="156"/>
    <row r="85" ht="12.75" customHeight="1" s="156"/>
    <row r="86" ht="12.75" customHeight="1" s="156"/>
    <row r="87" ht="12.75" customHeight="1" s="156"/>
    <row r="88" ht="12.75" customHeight="1" s="156"/>
    <row r="89" ht="12.75" customHeight="1" s="156"/>
    <row r="90" ht="12.75" customHeight="1" s="156"/>
    <row r="91" ht="12.75" customHeight="1" s="156"/>
    <row r="92" ht="12.75" customHeight="1" s="156"/>
    <row r="93" ht="12.75" customHeight="1" s="156"/>
    <row r="94" ht="12.75" customHeight="1" s="156"/>
    <row r="95" ht="12.75" customHeight="1" s="156"/>
    <row r="96" ht="12.75" customHeight="1" s="156"/>
    <row r="97" ht="12.75" customHeight="1" s="156"/>
    <row r="98" ht="12.75" customHeight="1" s="156"/>
    <row r="99" ht="12.75" customHeight="1" s="156"/>
    <row r="100" ht="12.75" customHeight="1" s="156"/>
    <row r="101" ht="12.75" customHeight="1" s="156"/>
    <row r="102" ht="12.75" customHeight="1" s="156"/>
    <row r="103" ht="12.75" customHeight="1" s="156"/>
    <row r="104" ht="12.75" customHeight="1" s="156"/>
    <row r="105" ht="12.75" customHeight="1" s="156"/>
    <row r="106" ht="12.75" customHeight="1" s="156"/>
    <row r="107" ht="12.75" customHeight="1" s="156"/>
    <row r="108" ht="12.75" customHeight="1" s="156"/>
    <row r="109" ht="12.75" customHeight="1" s="156"/>
    <row r="110" ht="12.75" customHeight="1" s="156"/>
    <row r="111" ht="12.75" customHeight="1" s="156"/>
    <row r="112" ht="12.75" customHeight="1" s="156"/>
    <row r="113" ht="12.75" customHeight="1" s="156"/>
    <row r="114" ht="12.75" customHeight="1" s="156"/>
    <row r="115" ht="12.75" customHeight="1" s="156"/>
    <row r="116" ht="12.75" customHeight="1" s="156"/>
    <row r="117" ht="12.75" customHeight="1" s="156"/>
    <row r="118" ht="12.75" customHeight="1" s="156"/>
    <row r="119" ht="12.75" customHeight="1" s="156"/>
    <row r="120" ht="12.75" customHeight="1" s="156"/>
    <row r="121" ht="12.75" customHeight="1" s="156"/>
    <row r="122" ht="12.75" customHeight="1" s="156"/>
    <row r="123" ht="12.75" customHeight="1" s="156"/>
    <row r="124" ht="12.75" customHeight="1" s="156"/>
    <row r="125" ht="12.75" customHeight="1" s="156"/>
    <row r="126" ht="12.75" customHeight="1" s="156"/>
    <row r="127" ht="12.75" customHeight="1" s="156"/>
    <row r="128" ht="12.75" customHeight="1" s="156"/>
    <row r="129" ht="12.75" customHeight="1" s="156"/>
    <row r="130" ht="12.75" customHeight="1" s="156"/>
    <row r="131" ht="12.75" customHeight="1" s="156"/>
    <row r="132" ht="12.75" customHeight="1" s="156"/>
    <row r="133" ht="12.75" customHeight="1" s="156"/>
    <row r="134" ht="12.75" customHeight="1" s="156"/>
    <row r="135" ht="12.75" customHeight="1" s="156"/>
    <row r="136" ht="12.75" customHeight="1" s="156"/>
    <row r="137" ht="12.75" customHeight="1" s="156"/>
    <row r="138" ht="12.75" customHeight="1" s="156"/>
    <row r="139" ht="12.75" customHeight="1" s="156"/>
    <row r="140" ht="12.75" customHeight="1" s="156"/>
    <row r="141" ht="12.75" customHeight="1" s="156"/>
    <row r="142" ht="12.75" customHeight="1" s="156"/>
    <row r="143" ht="12.75" customHeight="1" s="156"/>
    <row r="144" ht="12.75" customHeight="1" s="156"/>
    <row r="145" ht="12.75" customHeight="1" s="156"/>
    <row r="146" ht="12.75" customHeight="1" s="156"/>
    <row r="147" ht="12.75" customHeight="1" s="156"/>
    <row r="148" ht="12.75" customHeight="1" s="156"/>
    <row r="149" ht="12.75" customHeight="1" s="156"/>
    <row r="150" ht="12.75" customHeight="1" s="156"/>
    <row r="151" ht="12.75" customHeight="1" s="156"/>
    <row r="152" ht="12.75" customHeight="1" s="156"/>
    <row r="153" ht="12.75" customHeight="1" s="156"/>
    <row r="154" ht="12.75" customHeight="1" s="156"/>
    <row r="155" ht="12.75" customHeight="1" s="156"/>
    <row r="156" ht="12.75" customHeight="1" s="156"/>
    <row r="157" ht="12.75" customHeight="1" s="156"/>
    <row r="158" ht="12.75" customHeight="1" s="156"/>
    <row r="159" ht="12.75" customHeight="1" s="156"/>
    <row r="160" ht="12.75" customHeight="1" s="156"/>
    <row r="161" ht="12.75" customHeight="1" s="156"/>
    <row r="162" ht="12.75" customHeight="1" s="156"/>
    <row r="163" ht="12.75" customHeight="1" s="156"/>
    <row r="164" ht="12.75" customHeight="1" s="156"/>
    <row r="165" ht="12.75" customHeight="1" s="156"/>
    <row r="166" ht="12.75" customHeight="1" s="156"/>
    <row r="167" ht="12.75" customHeight="1" s="156"/>
    <row r="168" ht="12.75" customHeight="1" s="156"/>
    <row r="169" ht="12.75" customHeight="1" s="156"/>
    <row r="170" ht="12.75" customHeight="1" s="156"/>
    <row r="171" ht="12.75" customHeight="1" s="156"/>
    <row r="172" ht="12.75" customHeight="1" s="156"/>
    <row r="173" ht="12.75" customHeight="1" s="156"/>
    <row r="174" ht="12.75" customHeight="1" s="156"/>
    <row r="175" ht="12.75" customHeight="1" s="156"/>
    <row r="176" ht="12.75" customHeight="1" s="156"/>
    <row r="177" ht="12.75" customHeight="1" s="156"/>
    <row r="178" ht="12.75" customHeight="1" s="156"/>
    <row r="179" ht="12.75" customHeight="1" s="156"/>
    <row r="180" ht="12.75" customHeight="1" s="156"/>
    <row r="181" ht="12.75" customHeight="1" s="156"/>
    <row r="182" ht="12.75" customHeight="1" s="156"/>
    <row r="183" ht="12.75" customHeight="1" s="156"/>
    <row r="184" ht="12.75" customHeight="1" s="156"/>
    <row r="185" ht="12.75" customHeight="1" s="156"/>
    <row r="186" ht="12.75" customHeight="1" s="156"/>
    <row r="187" ht="12.75" customHeight="1" s="156"/>
    <row r="188" ht="12.75" customHeight="1" s="156"/>
    <row r="189" ht="12.75" customHeight="1" s="156"/>
    <row r="190" ht="12.75" customHeight="1" s="156"/>
    <row r="191" ht="12.75" customHeight="1" s="156"/>
    <row r="192" ht="12.75" customHeight="1" s="156"/>
    <row r="193" ht="12.75" customHeight="1" s="156"/>
    <row r="194" ht="12.75" customHeight="1" s="156"/>
    <row r="195" ht="12.75" customHeight="1" s="156"/>
    <row r="196" ht="12.75" customHeight="1" s="156"/>
    <row r="197" ht="12.75" customHeight="1" s="156"/>
    <row r="198" ht="12.75" customHeight="1" s="156"/>
    <row r="199" ht="12.75" customHeight="1" s="156"/>
    <row r="200" ht="12.75" customHeight="1" s="156"/>
    <row r="201" ht="12.75" customHeight="1" s="156"/>
    <row r="202" ht="12.75" customHeight="1" s="156"/>
    <row r="203" ht="12.75" customHeight="1" s="156"/>
    <row r="204" ht="12.75" customHeight="1" s="156"/>
    <row r="205" ht="12.75" customHeight="1" s="156"/>
    <row r="206" ht="12.75" customHeight="1" s="156"/>
    <row r="207" ht="12.75" customHeight="1" s="156"/>
    <row r="208" ht="12.75" customHeight="1" s="156"/>
    <row r="209" ht="12.75" customHeight="1" s="156"/>
    <row r="210" ht="12.75" customHeight="1" s="156"/>
    <row r="211" ht="12.75" customHeight="1" s="156"/>
    <row r="212" ht="12.75" customHeight="1" s="156"/>
    <row r="213" ht="12.75" customHeight="1" s="156"/>
    <row r="214" ht="12.75" customHeight="1" s="156"/>
    <row r="215" ht="12.75" customHeight="1" s="156"/>
    <row r="216" ht="12.75" customHeight="1" s="156"/>
    <row r="217" ht="12.75" customHeight="1" s="156"/>
    <row r="218" ht="12.75" customHeight="1" s="156"/>
    <row r="219" ht="12.75" customHeight="1" s="156"/>
    <row r="220" ht="12.75" customHeight="1" s="156"/>
    <row r="221" ht="12.75" customHeight="1" s="156"/>
    <row r="222" ht="12.75" customHeight="1" s="156"/>
    <row r="223" ht="12.75" customHeight="1" s="156"/>
    <row r="224" ht="12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2">
    <mergeCell ref="B7:I7"/>
    <mergeCell ref="C20:D20"/>
  </mergeCells>
  <pageMargins left="0.75" right="0.75" top="1" bottom="1" header="0" footer="0"/>
  <pageSetup orientation="landscape" paperSize="9" scale="6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240"/>
  <sheetViews>
    <sheetView showGridLines="0" workbookViewId="0">
      <selection activeCell="A1" sqref="A1"/>
    </sheetView>
  </sheetViews>
  <sheetFormatPr baseColWidth="10" defaultColWidth="14.5" defaultRowHeight="15" customHeight="1"/>
  <cols>
    <col width="23.6640625" customWidth="1" style="156" min="1" max="1"/>
    <col width="14.33203125" customWidth="1" style="156" min="2" max="2"/>
    <col width="18.33203125" customWidth="1" style="156" min="3" max="3"/>
    <col width="14" customWidth="1" style="156" min="4" max="4"/>
    <col width="18.33203125" customWidth="1" style="156" min="5" max="5"/>
    <col width="3.6640625" customWidth="1" style="156" min="6" max="9"/>
    <col width="11.83203125" customWidth="1" style="156" min="10" max="10"/>
    <col width="12" customWidth="1" style="156" min="11" max="11"/>
    <col width="16" customWidth="1" style="156" min="12" max="12"/>
    <col width="10.6640625" customWidth="1" style="156" min="13" max="32"/>
  </cols>
  <sheetData>
    <row r="1" ht="20" customHeight="1" s="156">
      <c r="A1" s="16" t="inlineStr">
        <is>
          <t>YERBANALYTICS - Planilla de Ingresos</t>
        </is>
      </c>
      <c r="B1" s="52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18" t="n"/>
      <c r="AB1" s="18" t="n"/>
    </row>
    <row r="2" ht="18" customHeight="1" s="156">
      <c r="A2" s="54" t="inlineStr">
        <is>
          <t>Planilla de Ingresos</t>
        </is>
      </c>
      <c r="B2" s="54" t="n"/>
      <c r="C2" s="55" t="inlineStr">
        <is>
          <t> 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18" t="n"/>
      <c r="AB2" s="18" t="n"/>
    </row>
    <row r="3" ht="12.75" customHeight="1" s="156">
      <c r="A3" s="56" t="n"/>
      <c r="B3" s="56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18" t="n"/>
      <c r="AB3" s="18" t="n"/>
    </row>
    <row r="4" hidden="1" ht="12.75" customHeight="1" s="156">
      <c r="A4" s="57" t="inlineStr">
        <is>
          <t>Mercado Objetivo (NEA: Misiones y Corrientes)</t>
        </is>
      </c>
      <c r="B4" s="58" t="n"/>
      <c r="C4" s="59" t="inlineStr">
        <is>
          <t>Usuarios</t>
        </is>
      </c>
      <c r="D4" s="59" t="inlineStr">
        <is>
          <t>Facturacion</t>
        </is>
      </c>
      <c r="E4" s="59" t="inlineStr">
        <is>
          <t>Inversion</t>
        </is>
      </c>
      <c r="F4" s="53" t="n"/>
      <c r="G4" s="60" t="inlineStr">
        <is>
          <t>Users</t>
        </is>
      </c>
      <c r="H4" s="60" t="inlineStr">
        <is>
          <t xml:space="preserve"> Monthly  Bill</t>
        </is>
      </c>
      <c r="I4" s="60" t="n"/>
      <c r="J4" s="60" t="n"/>
      <c r="K4" s="60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61" t="n"/>
      <c r="AB4" s="61" t="n"/>
      <c r="AC4" s="18" t="n"/>
      <c r="AD4" s="18" t="n"/>
      <c r="AE4" s="18" t="n"/>
      <c r="AF4" s="18" t="n"/>
    </row>
    <row r="5" hidden="1" ht="12.75" customHeight="1" s="156">
      <c r="A5" s="202" t="inlineStr">
        <is>
          <t>Viveros yerbateros dedicados</t>
        </is>
      </c>
      <c r="B5" s="56" t="n"/>
      <c r="C5" s="53" t="n">
        <v>40</v>
      </c>
      <c r="D5" s="53" t="n">
        <v>864000000</v>
      </c>
      <c r="E5" s="53" t="n">
        <v>0.35</v>
      </c>
      <c r="F5" s="53" t="n"/>
      <c r="G5" s="53" t="inlineStr">
        <is>
          <t>Viveros</t>
        </is>
      </c>
      <c r="H5" s="53" t="n">
        <v>1800000</v>
      </c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273" t="n"/>
      <c r="AB5" s="63" t="n"/>
    </row>
    <row r="6" hidden="1" ht="12.75" customHeight="1" s="156">
      <c r="A6" s="202" t="inlineStr">
        <is>
          <t>Cooperativas con vivero central</t>
        </is>
      </c>
      <c r="B6" s="56" t="n"/>
      <c r="C6" s="53" t="n">
        <v>25</v>
      </c>
      <c r="D6" s="53" t="n">
        <v>540000000</v>
      </c>
      <c r="E6" s="53" t="n">
        <v>0.35</v>
      </c>
      <c r="F6" s="53" t="n"/>
      <c r="G6" s="53" t="inlineStr">
        <is>
          <t>Cooperativas</t>
        </is>
      </c>
      <c r="H6" s="53" t="n">
        <v>1800000</v>
      </c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  <c r="AA6" s="273" t="n"/>
      <c r="AB6" s="63" t="n"/>
    </row>
    <row r="7" hidden="1" ht="12.75" customHeight="1" s="156">
      <c r="A7" s="202" t="inlineStr">
        <is>
          <t>Productores con vivero propio</t>
        </is>
      </c>
      <c r="B7" s="56" t="n"/>
      <c r="C7" s="53" t="n">
        <v>120</v>
      </c>
      <c r="D7" s="53" t="n">
        <v>1296000000</v>
      </c>
      <c r="E7" s="53" t="n">
        <v>0.2</v>
      </c>
      <c r="F7" s="53" t="n"/>
      <c r="G7" s="53" t="inlineStr">
        <is>
          <t>Productores</t>
        </is>
      </c>
      <c r="H7" s="53" t="n">
        <v>900000</v>
      </c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273" t="n"/>
      <c r="AB7" s="63" t="n"/>
    </row>
    <row r="8" hidden="1" ht="12.75" customHeight="1" s="156">
      <c r="A8" s="202" t="inlineStr">
        <is>
          <t>-</t>
        </is>
      </c>
      <c r="B8" s="56" t="n"/>
      <c r="C8" s="53" t="n">
        <v>0</v>
      </c>
      <c r="D8" s="53" t="n">
        <v>0</v>
      </c>
      <c r="E8" s="53" t="n"/>
      <c r="F8" s="53" t="n"/>
      <c r="G8" s="53" t="n">
        <v>80000</v>
      </c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  <c r="AA8" s="273" t="n"/>
      <c r="AB8" s="63" t="n"/>
      <c r="AC8" s="274" t="n"/>
      <c r="AD8" s="56" t="n"/>
      <c r="AE8" s="18" t="n"/>
      <c r="AF8" s="18" t="n"/>
    </row>
    <row r="9" hidden="1" ht="12.75" customHeight="1" s="156">
      <c r="A9" s="65" t="inlineStr">
        <is>
          <t>Total mercado potencial</t>
        </is>
      </c>
      <c r="B9" s="66" t="n"/>
      <c r="C9" s="67" t="n">
        <v>185</v>
      </c>
      <c r="D9" s="67" t="n"/>
      <c r="E9" s="67" t="n"/>
      <c r="F9" s="53" t="n"/>
      <c r="G9" s="67" t="n"/>
      <c r="H9" s="67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68" t="n"/>
      <c r="AB9" s="21" t="n"/>
      <c r="AC9" s="274" t="n"/>
      <c r="AD9" s="56" t="n"/>
      <c r="AE9" s="18" t="n"/>
      <c r="AF9" s="18" t="n"/>
    </row>
    <row r="10" hidden="1" ht="12.75" customHeight="1" s="156">
      <c r="A10" s="69" t="inlineStr">
        <is>
          <t>Total</t>
        </is>
      </c>
      <c r="B10" s="203" t="n"/>
      <c r="C10" s="204">
        <f>SUM(C5:C8)</f>
        <v/>
      </c>
      <c r="D10" s="204">
        <f>SUM(D5:D9)</f>
        <v/>
      </c>
      <c r="E10" s="205" t="n"/>
      <c r="F10" s="53" t="n"/>
      <c r="G10" s="53">
        <f>SUM(G5:H8)</f>
        <v/>
      </c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  <c r="AA10" s="273" t="n"/>
      <c r="AB10" s="21" t="n"/>
      <c r="AC10" s="275" t="n"/>
      <c r="AD10" s="56" t="n"/>
      <c r="AE10" s="18" t="n"/>
      <c r="AF10" s="18" t="n"/>
    </row>
    <row r="11" ht="12.75" customHeight="1" s="156">
      <c r="A11" s="56" t="n"/>
      <c r="B11" s="56" t="n"/>
      <c r="C11" s="55" t="n"/>
      <c r="D11" s="55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273" t="n"/>
      <c r="AB11" s="21" t="n"/>
      <c r="AC11" s="275" t="n"/>
      <c r="AD11" s="56" t="n"/>
      <c r="AE11" s="18" t="n"/>
      <c r="AF11" s="18" t="n"/>
    </row>
    <row r="12" ht="12.75" customHeight="1" s="156">
      <c r="A12" s="71" t="inlineStr">
        <is>
          <t>Periodo</t>
        </is>
      </c>
      <c r="B12" s="206" t="n"/>
      <c r="C12" s="244" t="inlineStr">
        <is>
          <t>Año 0</t>
        </is>
      </c>
      <c r="D12" s="276" t="n"/>
      <c r="E12" s="276" t="n"/>
      <c r="F12" s="276" t="n"/>
      <c r="G12" s="276" t="n"/>
      <c r="H12" s="276" t="n"/>
      <c r="I12" s="207" t="n"/>
      <c r="J12" s="72" t="inlineStr">
        <is>
          <t>Año 1</t>
        </is>
      </c>
      <c r="K12" s="72" t="inlineStr">
        <is>
          <t>Año 2</t>
        </is>
      </c>
      <c r="L12" s="73" t="inlineStr">
        <is>
          <t>Total Acumulado</t>
        </is>
      </c>
      <c r="M12" s="18" t="n"/>
      <c r="N12" s="21" t="n"/>
      <c r="O12" s="275" t="n"/>
      <c r="P12" s="56" t="n"/>
      <c r="Q12" s="18" t="n"/>
      <c r="R12" s="18" t="n"/>
      <c r="S12" s="18" t="n"/>
      <c r="T12" s="18" t="n"/>
      <c r="U12" s="22" t="n"/>
      <c r="V12" s="18" t="n"/>
      <c r="W12" s="18" t="n"/>
      <c r="X12" s="18" t="n"/>
      <c r="Y12" s="18" t="n"/>
      <c r="Z12" s="74" t="n"/>
      <c r="AA12" s="18" t="n"/>
      <c r="AB12" s="75" t="n"/>
      <c r="AC12" s="273" t="n"/>
      <c r="AD12" s="21" t="n"/>
      <c r="AE12" s="275" t="n"/>
      <c r="AF12" s="56" t="n"/>
    </row>
    <row r="13" ht="12.75" customHeight="1" s="156">
      <c r="A13" s="208" t="inlineStr">
        <is>
          <t> </t>
        </is>
      </c>
      <c r="B13" s="76" t="inlineStr">
        <is>
          <t>Start-up</t>
        </is>
      </c>
      <c r="C13" s="77" t="n">
        <v>1</v>
      </c>
      <c r="D13" s="78" t="n">
        <v>2</v>
      </c>
      <c r="E13" s="78" t="n">
        <v>3</v>
      </c>
      <c r="F13" s="78" t="n">
        <v>4</v>
      </c>
      <c r="G13" s="78" t="n">
        <v>5</v>
      </c>
      <c r="H13" s="78" t="n">
        <v>6</v>
      </c>
      <c r="I13" s="78" t="n">
        <v>7</v>
      </c>
      <c r="J13" s="72" t="inlineStr">
        <is>
          <t>1-12</t>
        </is>
      </c>
      <c r="K13" s="72" t="inlineStr">
        <is>
          <t>1-12</t>
        </is>
      </c>
      <c r="L13" s="209" t="inlineStr">
        <is>
          <t>3 años</t>
        </is>
      </c>
      <c r="M13" s="18" t="n"/>
      <c r="N13" s="21" t="n"/>
      <c r="O13" s="275" t="n"/>
      <c r="P13" s="56" t="n"/>
      <c r="Q13" s="18" t="n"/>
      <c r="R13" s="18" t="n"/>
      <c r="S13" s="18" t="n"/>
      <c r="T13" s="18" t="n"/>
      <c r="U13" s="22" t="n"/>
      <c r="V13" s="18" t="n"/>
      <c r="W13" s="18" t="n"/>
      <c r="X13" s="18" t="n"/>
      <c r="Y13" s="18" t="n"/>
      <c r="Z13" s="74" t="n"/>
      <c r="AA13" s="18" t="n"/>
      <c r="AB13" s="75" t="n"/>
      <c r="AC13" s="273" t="n"/>
      <c r="AD13" s="21" t="n"/>
      <c r="AE13" s="275" t="n"/>
      <c r="AF13" s="56" t="n"/>
    </row>
    <row r="14" ht="12.75" customHeight="1" s="156">
      <c r="A14" s="155" t="inlineStr">
        <is>
          <t>Aporte de Socios</t>
        </is>
      </c>
      <c r="B14" s="79">
        <f>'Est. Res. Proy.'!B5</f>
        <v/>
      </c>
      <c r="C14" s="79" t="n">
        <v>0</v>
      </c>
      <c r="D14" s="79" t="n">
        <v>0</v>
      </c>
      <c r="E14" s="79" t="n">
        <v>0</v>
      </c>
      <c r="F14" s="79" t="n">
        <v>0</v>
      </c>
      <c r="G14" s="79" t="n">
        <v>0</v>
      </c>
      <c r="H14" s="79" t="n">
        <v>0</v>
      </c>
      <c r="I14" s="79" t="n">
        <v>0</v>
      </c>
      <c r="J14" s="79" t="n">
        <v>0</v>
      </c>
      <c r="K14" s="79" t="n">
        <v>0</v>
      </c>
      <c r="L14" s="79">
        <f>SUM(B14:K14)</f>
        <v/>
      </c>
      <c r="M14" s="18" t="n"/>
      <c r="N14" s="21" t="n"/>
      <c r="O14" s="275" t="n"/>
      <c r="P14" s="56" t="n"/>
      <c r="Q14" s="18" t="n"/>
      <c r="R14" s="18" t="n"/>
      <c r="S14" s="18" t="n"/>
      <c r="T14" s="18" t="n"/>
      <c r="U14" s="22" t="n"/>
      <c r="V14" s="18" t="n"/>
      <c r="W14" s="18" t="n"/>
      <c r="X14" s="18" t="n"/>
      <c r="Y14" s="18" t="n"/>
      <c r="Z14" s="74" t="n"/>
      <c r="AA14" s="18" t="n"/>
      <c r="AB14" s="75" t="n"/>
      <c r="AC14" s="273" t="n"/>
      <c r="AD14" s="21" t="n"/>
      <c r="AE14" s="275" t="n"/>
      <c r="AF14" s="56" t="n"/>
    </row>
    <row r="15" ht="12.75" customHeight="1" s="156">
      <c r="A15" s="80" t="inlineStr">
        <is>
          <t>Venta de simuladores</t>
        </is>
      </c>
      <c r="B15" s="81" t="n">
        <v>0</v>
      </c>
      <c r="C15" s="81" t="n">
        <v>0</v>
      </c>
      <c r="D15" s="81" t="n">
        <v>0</v>
      </c>
      <c r="E15" s="81" t="n">
        <v>0</v>
      </c>
      <c r="F15" s="81" t="n">
        <v>0</v>
      </c>
      <c r="G15" s="81" t="n">
        <v>0</v>
      </c>
      <c r="H15" s="81" t="n">
        <v>0</v>
      </c>
      <c r="I15" s="81" t="n">
        <v>0</v>
      </c>
      <c r="J15" s="81">
        <f>C24*B24</f>
        <v/>
      </c>
      <c r="K15" s="81">
        <f>D24*E24</f>
        <v/>
      </c>
      <c r="L15" s="79">
        <f>SUM(B15:K15)</f>
        <v/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</row>
    <row r="16" ht="14" customHeight="1" s="156">
      <c r="A16" s="82" t="inlineStr">
        <is>
          <t>Suscripción a soporte</t>
        </is>
      </c>
      <c r="B16" s="79">
        <f>B15*$C$20</f>
        <v/>
      </c>
      <c r="C16" s="79" t="n">
        <v>0</v>
      </c>
      <c r="D16" s="79" t="n">
        <v>0</v>
      </c>
      <c r="E16" s="79" t="n">
        <v>0</v>
      </c>
      <c r="F16" s="79" t="n">
        <v>0</v>
      </c>
      <c r="G16" s="79" t="n">
        <v>0</v>
      </c>
      <c r="H16" s="79" t="n">
        <v>0</v>
      </c>
      <c r="I16" s="79" t="n">
        <v>0</v>
      </c>
      <c r="J16" s="79">
        <f>C25*B25*12</f>
        <v/>
      </c>
      <c r="K16" s="79">
        <f>D25*E25*12</f>
        <v/>
      </c>
      <c r="L16" s="79">
        <f>SUM(B16:K16)</f>
        <v/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</row>
    <row r="17" ht="14" customHeight="1" s="156">
      <c r="A17" s="82" t="inlineStr">
        <is>
          <t>Jornadas de capacitación</t>
        </is>
      </c>
      <c r="B17" s="79">
        <f>B15*$C$20</f>
        <v/>
      </c>
      <c r="C17" s="79" t="n">
        <v>0</v>
      </c>
      <c r="D17" s="79" t="n">
        <v>0</v>
      </c>
      <c r="E17" s="79" t="n">
        <v>0</v>
      </c>
      <c r="F17" s="79" t="n">
        <v>0</v>
      </c>
      <c r="G17" s="79" t="n">
        <v>0</v>
      </c>
      <c r="H17" s="79" t="n">
        <v>0</v>
      </c>
      <c r="I17" s="79" t="n">
        <v>0</v>
      </c>
      <c r="J17" s="83" t="n">
        <v>600000</v>
      </c>
      <c r="K17" s="79" t="n">
        <v>1000000</v>
      </c>
      <c r="L17" s="79">
        <f>SUM(B17:K17)</f>
        <v/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</row>
    <row r="18" ht="12.75" customHeight="1" s="156">
      <c r="A18" s="210" t="inlineStr">
        <is>
          <t>Total Ingresos</t>
        </is>
      </c>
      <c r="B18" s="84">
        <f>SUM(B14:B17)</f>
        <v/>
      </c>
      <c r="C18" s="84">
        <f>SUM(C14:C17)</f>
        <v/>
      </c>
      <c r="D18" s="84">
        <f>SUM(D14:D17)</f>
        <v/>
      </c>
      <c r="E18" s="84">
        <f>SUM(E14:E17)</f>
        <v/>
      </c>
      <c r="F18" s="84">
        <f>SUM(F14:F17)</f>
        <v/>
      </c>
      <c r="G18" s="84">
        <f>SUM(G14:G17)</f>
        <v/>
      </c>
      <c r="H18" s="84">
        <f>SUM(H14:H17)</f>
        <v/>
      </c>
      <c r="I18" s="84">
        <f>SUM(I14:I17)</f>
        <v/>
      </c>
      <c r="J18" s="84">
        <f>SUM(J14:J17)</f>
        <v/>
      </c>
      <c r="K18" s="84">
        <f>SUM(K14:K17)</f>
        <v/>
      </c>
      <c r="L18" s="84">
        <f>SUM(L14:L17)</f>
        <v/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</row>
    <row r="19" ht="12.75" customHeight="1" s="156">
      <c r="A19" s="56" t="n"/>
      <c r="B19" s="56" t="n"/>
      <c r="C19" s="55" t="n"/>
      <c r="D19" s="55" t="n"/>
      <c r="E19" s="55" t="n"/>
      <c r="F19" s="55" t="n"/>
      <c r="G19" s="53" t="n"/>
      <c r="H19" s="53" t="n"/>
      <c r="I19" s="53" t="n"/>
      <c r="J19" s="53" t="n"/>
      <c r="K19" s="53" t="n"/>
      <c r="L19" s="53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</row>
    <row r="20" ht="12.75" customHeight="1" s="156">
      <c r="A20" s="53" t="n"/>
      <c r="B20" s="53" t="n"/>
      <c r="C20" s="53" t="n"/>
      <c r="D20" s="53" t="n"/>
      <c r="E20" s="85" t="n"/>
      <c r="F20" s="53" t="n"/>
      <c r="G20" s="53" t="n"/>
      <c r="H20" s="53" t="n"/>
      <c r="I20" s="53" t="n"/>
      <c r="J20" s="53" t="n"/>
      <c r="K20" s="53" t="n"/>
      <c r="L20" s="53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</row>
    <row r="21" ht="12.75" customHeight="1" s="156">
      <c r="A21" s="18" t="n"/>
      <c r="B21" s="18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18" t="n"/>
      <c r="AB21" s="18" t="n"/>
      <c r="AC21" s="18" t="n"/>
      <c r="AD21" s="18" t="n"/>
      <c r="AE21" s="18" t="n"/>
      <c r="AF21" s="18" t="n"/>
    </row>
    <row r="22" ht="15.75" customHeight="1" s="156">
      <c r="A22" s="206" t="inlineStr">
        <is>
          <t>Detalle</t>
        </is>
      </c>
      <c r="B22" s="86" t="inlineStr">
        <is>
          <t>Precio de venta x Unidad</t>
        </is>
      </c>
      <c r="C22" s="87" t="inlineStr">
        <is>
          <t>Cantidad de Ventas</t>
        </is>
      </c>
      <c r="D22" s="86" t="inlineStr">
        <is>
          <t>Precio de venta x Unidad</t>
        </is>
      </c>
      <c r="E22" s="87" t="inlineStr">
        <is>
          <t>Cantidad de Ventas</t>
        </is>
      </c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18" t="n"/>
      <c r="AB22" s="18" t="n"/>
      <c r="AC22" s="18" t="n"/>
      <c r="AD22" s="18" t="n"/>
      <c r="AE22" s="18" t="n"/>
      <c r="AF22" s="18" t="n"/>
    </row>
    <row r="23" ht="12.75" customHeight="1" s="156">
      <c r="A23" s="78" t="n"/>
      <c r="B23" s="88" t="inlineStr">
        <is>
          <t xml:space="preserve">Año 1 </t>
        </is>
      </c>
      <c r="C23" s="88" t="inlineStr">
        <is>
          <t>Año 1</t>
        </is>
      </c>
      <c r="D23" s="88" t="inlineStr">
        <is>
          <t xml:space="preserve">Año 2 </t>
        </is>
      </c>
      <c r="E23" s="88" t="inlineStr">
        <is>
          <t>Año 2</t>
        </is>
      </c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18" t="n"/>
      <c r="AB23" s="18" t="n"/>
      <c r="AC23" s="18" t="n"/>
      <c r="AD23" s="18" t="n"/>
      <c r="AE23" s="18" t="n"/>
      <c r="AF23" s="18" t="n"/>
    </row>
    <row r="24" ht="15.75" customHeight="1" s="156">
      <c r="A24" s="80" t="inlineStr">
        <is>
          <t>Simulador</t>
        </is>
      </c>
      <c r="B24" s="89" t="n">
        <v>26639000</v>
      </c>
      <c r="C24" s="90" t="n">
        <v>3</v>
      </c>
      <c r="D24" s="91">
        <f>B24+B24*'Est. Res. Proy.'!E20</f>
        <v/>
      </c>
      <c r="E24" s="90" t="n">
        <v>7</v>
      </c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  <c r="AA24" s="53" t="n"/>
      <c r="AB24" s="18" t="n"/>
      <c r="AC24" s="18" t="n"/>
      <c r="AD24" s="18" t="n"/>
      <c r="AE24" s="18" t="n"/>
      <c r="AF24" s="18" t="n"/>
    </row>
    <row r="25" ht="15.75" customHeight="1" s="156">
      <c r="A25" s="82" t="inlineStr">
        <is>
          <t>Soporte mensual</t>
        </is>
      </c>
      <c r="B25" s="83" t="n">
        <v>1800000</v>
      </c>
      <c r="C25" s="92" t="n">
        <v>3</v>
      </c>
      <c r="D25" s="91">
        <f>B25+B25*'Est. Res. Proy.'!E20</f>
        <v/>
      </c>
      <c r="E25" s="92">
        <f>C25+E24</f>
        <v/>
      </c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18" t="n"/>
      <c r="AC25" s="18" t="n"/>
      <c r="AD25" s="18" t="n"/>
      <c r="AE25" s="18" t="n"/>
      <c r="AF25" s="18" t="n"/>
    </row>
    <row r="26" ht="12.75" customHeight="1" s="156">
      <c r="C26" s="53" t="n"/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18" t="n"/>
      <c r="AC26" s="18" t="n"/>
      <c r="AD26" s="18" t="n"/>
      <c r="AE26" s="18" t="n"/>
      <c r="AF26" s="18" t="n"/>
    </row>
    <row r="27" ht="12.75" customHeight="1" s="156"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18" t="n"/>
      <c r="AC27" s="18" t="n"/>
      <c r="AD27" s="18" t="n"/>
      <c r="AE27" s="18" t="n"/>
      <c r="AF27" s="18" t="n"/>
    </row>
    <row r="28" ht="12.75" customHeight="1" s="156">
      <c r="A28" s="53" t="n"/>
      <c r="B28" s="53" t="n"/>
      <c r="C28" s="53" t="n"/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  <c r="AA28" s="18" t="n"/>
      <c r="AB28" s="18" t="n"/>
      <c r="AC28" s="18" t="n"/>
      <c r="AD28" s="18" t="n"/>
      <c r="AE28" s="18" t="n"/>
      <c r="AF28" s="18" t="n"/>
    </row>
    <row r="29" ht="12.75" customHeight="1" s="156">
      <c r="A29" s="18" t="n"/>
      <c r="B29" s="1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18" t="n"/>
      <c r="AB29" s="18" t="n"/>
      <c r="AC29" s="18" t="n"/>
      <c r="AD29" s="18" t="n"/>
      <c r="AE29" s="18" t="n"/>
      <c r="AF29" s="18" t="n"/>
    </row>
    <row r="30" ht="12.75" customHeight="1" s="156">
      <c r="A30" s="18" t="n"/>
      <c r="B30" s="18" t="n"/>
      <c r="C30" s="53" t="n"/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  <c r="AA30" s="18" t="n"/>
      <c r="AB30" s="18" t="n"/>
      <c r="AC30" s="18" t="n"/>
      <c r="AD30" s="18" t="n"/>
      <c r="AE30" s="18" t="n"/>
      <c r="AF30" s="18" t="n"/>
    </row>
    <row r="31" ht="12.75" customHeight="1" s="156">
      <c r="A31" s="18" t="n"/>
      <c r="B31" s="18" t="n"/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18" t="n"/>
      <c r="AB31" s="18" t="n"/>
      <c r="AC31" s="18" t="n"/>
      <c r="AD31" s="18" t="n"/>
      <c r="AE31" s="18" t="n"/>
      <c r="AF31" s="18" t="n"/>
    </row>
    <row r="32" ht="12.75" customHeight="1" s="156">
      <c r="A32" s="18" t="n"/>
      <c r="B32" s="18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18" t="n"/>
      <c r="AB32" s="18" t="n"/>
      <c r="AC32" s="18" t="n"/>
      <c r="AD32" s="18" t="n"/>
      <c r="AE32" s="18" t="n"/>
      <c r="AF32" s="18" t="n"/>
    </row>
    <row r="33" ht="12.75" customHeight="1" s="156">
      <c r="A33" s="18" t="n"/>
      <c r="B33" s="18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18" t="n"/>
      <c r="AB33" s="18" t="n"/>
      <c r="AC33" s="18" t="n"/>
      <c r="AD33" s="18" t="n"/>
      <c r="AE33" s="18" t="n"/>
      <c r="AF33" s="18" t="n"/>
    </row>
    <row r="34" ht="12.75" customHeight="1" s="156">
      <c r="A34" s="18" t="n"/>
      <c r="B34" s="18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18" t="n"/>
      <c r="AB34" s="18" t="n"/>
      <c r="AC34" s="18" t="n"/>
      <c r="AD34" s="18" t="n"/>
      <c r="AE34" s="18" t="n"/>
      <c r="AF34" s="18" t="n"/>
    </row>
    <row r="35" ht="12.75" customHeight="1" s="156">
      <c r="A35" s="18" t="n"/>
      <c r="B35" s="1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18" t="n"/>
      <c r="AB35" s="18" t="n"/>
      <c r="AC35" s="18" t="n"/>
      <c r="AD35" s="18" t="n"/>
      <c r="AE35" s="18" t="n"/>
      <c r="AF35" s="18" t="n"/>
    </row>
    <row r="36" ht="12.75" customHeight="1" s="156">
      <c r="A36" s="18" t="n"/>
      <c r="B36" s="18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  <c r="AA36" s="18" t="n"/>
      <c r="AB36" s="18" t="n"/>
      <c r="AC36" s="18" t="n"/>
      <c r="AD36" s="18" t="n"/>
      <c r="AE36" s="18" t="n"/>
      <c r="AF36" s="18" t="n"/>
    </row>
    <row r="37" ht="12.75" customHeight="1" s="156">
      <c r="A37" s="18" t="n"/>
      <c r="B37" s="18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18" t="n"/>
      <c r="AB37" s="18" t="n"/>
      <c r="AC37" s="18" t="n"/>
      <c r="AD37" s="18" t="n"/>
      <c r="AE37" s="18" t="n"/>
      <c r="AF37" s="18" t="n"/>
    </row>
    <row r="38" ht="12.75" customHeight="1" s="156">
      <c r="A38" s="18" t="n"/>
      <c r="B38" s="18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  <c r="AA38" s="18" t="n"/>
      <c r="AB38" s="18" t="n"/>
      <c r="AC38" s="18" t="n"/>
      <c r="AD38" s="18" t="n"/>
      <c r="AE38" s="18" t="n"/>
      <c r="AF38" s="18" t="n"/>
    </row>
    <row r="39" ht="12.75" customHeight="1" s="156">
      <c r="A39" s="18" t="n"/>
      <c r="B39" s="18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18" t="n"/>
      <c r="AB39" s="18" t="n"/>
      <c r="AC39" s="18" t="n"/>
      <c r="AD39" s="18" t="n"/>
      <c r="AE39" s="18" t="n"/>
      <c r="AF39" s="18" t="n"/>
    </row>
    <row r="40" ht="12.75" customHeight="1" s="156">
      <c r="A40" s="18" t="n"/>
      <c r="B40" s="18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  <c r="AA40" s="18" t="n"/>
      <c r="AB40" s="18" t="n"/>
      <c r="AC40" s="18" t="n"/>
      <c r="AD40" s="18" t="n"/>
      <c r="AE40" s="18" t="n"/>
      <c r="AF40" s="18" t="n"/>
    </row>
    <row r="41" ht="12.75" customHeight="1" s="156">
      <c r="A41" s="18" t="n"/>
      <c r="B41" s="1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18" t="n"/>
      <c r="AB41" s="18" t="n"/>
      <c r="AC41" s="18" t="n"/>
      <c r="AD41" s="18" t="n"/>
      <c r="AE41" s="18" t="n"/>
      <c r="AF41" s="18" t="n"/>
    </row>
    <row r="42" ht="12.75" customHeight="1" s="156">
      <c r="A42" s="18" t="n"/>
      <c r="B42" s="18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  <c r="AA42" s="18" t="n"/>
      <c r="AB42" s="18" t="n"/>
      <c r="AC42" s="18" t="n"/>
      <c r="AD42" s="18" t="n"/>
      <c r="AE42" s="18" t="n"/>
      <c r="AF42" s="18" t="n"/>
    </row>
    <row r="43" ht="12.75" customHeight="1" s="156">
      <c r="A43" s="18" t="n"/>
      <c r="B43" s="18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18" t="n"/>
      <c r="AB43" s="18" t="n"/>
      <c r="AC43" s="18" t="n"/>
      <c r="AD43" s="18" t="n"/>
      <c r="AE43" s="18" t="n"/>
      <c r="AF43" s="18" t="n"/>
    </row>
    <row r="44" ht="12.75" customHeight="1" s="156">
      <c r="A44" s="18" t="n"/>
      <c r="B44" s="18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  <c r="AA44" s="18" t="n"/>
      <c r="AB44" s="18" t="n"/>
      <c r="AC44" s="18" t="n"/>
      <c r="AD44" s="18" t="n"/>
      <c r="AE44" s="18" t="n"/>
      <c r="AF44" s="18" t="n"/>
    </row>
    <row r="45" ht="12.75" customHeight="1" s="156">
      <c r="A45" s="18" t="n"/>
      <c r="B45" s="18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18" t="n"/>
      <c r="AB45" s="18" t="n"/>
      <c r="AC45" s="18" t="n"/>
      <c r="AD45" s="18" t="n"/>
      <c r="AE45" s="18" t="n"/>
      <c r="AF45" s="18" t="n"/>
    </row>
    <row r="46" ht="12.75" customHeight="1" s="156">
      <c r="A46" s="18" t="n"/>
      <c r="B46" s="18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  <c r="AA46" s="18" t="n"/>
      <c r="AB46" s="18" t="n"/>
      <c r="AC46" s="18" t="n"/>
      <c r="AD46" s="18" t="n"/>
      <c r="AE46" s="18" t="n"/>
      <c r="AF46" s="18" t="n"/>
    </row>
    <row r="47" ht="12.75" customHeight="1" s="156">
      <c r="A47" s="18" t="n"/>
      <c r="B47" s="1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18" t="n"/>
      <c r="AB47" s="18" t="n"/>
      <c r="AC47" s="18" t="n"/>
      <c r="AD47" s="18" t="n"/>
      <c r="AE47" s="18" t="n"/>
      <c r="AF47" s="18" t="n"/>
    </row>
    <row r="48" ht="12.75" customHeight="1" s="156">
      <c r="A48" s="18" t="n"/>
      <c r="B48" s="18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  <c r="AA48" s="18" t="n"/>
      <c r="AB48" s="18" t="n"/>
      <c r="AC48" s="18" t="n"/>
      <c r="AD48" s="18" t="n"/>
      <c r="AE48" s="18" t="n"/>
      <c r="AF48" s="18" t="n"/>
    </row>
    <row r="49" ht="12.75" customHeight="1" s="156">
      <c r="A49" s="18" t="n"/>
      <c r="B49" s="18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  <c r="AA49" s="18" t="n"/>
      <c r="AB49" s="18" t="n"/>
      <c r="AC49" s="18" t="n"/>
      <c r="AD49" s="18" t="n"/>
      <c r="AE49" s="18" t="n"/>
      <c r="AF49" s="18" t="n"/>
    </row>
    <row r="50" ht="12.75" customHeight="1" s="156">
      <c r="A50" s="18" t="n"/>
      <c r="B50" s="18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  <c r="AA50" s="18" t="n"/>
      <c r="AB50" s="18" t="n"/>
      <c r="AC50" s="18" t="n"/>
      <c r="AD50" s="18" t="n"/>
      <c r="AE50" s="18" t="n"/>
      <c r="AF50" s="18" t="n"/>
    </row>
    <row r="51" ht="12.75" customHeight="1" s="156">
      <c r="A51" s="18" t="n"/>
      <c r="B51" s="18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  <c r="AA51" s="18" t="n"/>
      <c r="AB51" s="18" t="n"/>
      <c r="AC51" s="18" t="n"/>
      <c r="AD51" s="18" t="n"/>
      <c r="AE51" s="18" t="n"/>
      <c r="AF51" s="18" t="n"/>
    </row>
    <row r="52" ht="12.75" customHeight="1" s="156">
      <c r="A52" s="18" t="n"/>
      <c r="B52" s="18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18" t="n"/>
      <c r="AB52" s="18" t="n"/>
      <c r="AC52" s="18" t="n"/>
      <c r="AD52" s="18" t="n"/>
      <c r="AE52" s="18" t="n"/>
      <c r="AF52" s="18" t="n"/>
    </row>
    <row r="53" ht="12.75" customHeight="1" s="156">
      <c r="A53" s="18" t="n"/>
      <c r="B53" s="1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18" t="n"/>
      <c r="AB53" s="18" t="n"/>
      <c r="AC53" s="18" t="n"/>
      <c r="AD53" s="18" t="n"/>
      <c r="AE53" s="18" t="n"/>
      <c r="AF53" s="18" t="n"/>
    </row>
    <row r="54" ht="12.75" customHeight="1" s="156">
      <c r="A54" s="18" t="n"/>
      <c r="B54" s="18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18" t="n"/>
      <c r="AB54" s="18" t="n"/>
      <c r="AC54" s="18" t="n"/>
      <c r="AD54" s="18" t="n"/>
      <c r="AE54" s="18" t="n"/>
      <c r="AF54" s="18" t="n"/>
    </row>
    <row r="55" ht="12.75" customHeight="1" s="156">
      <c r="A55" s="18" t="n"/>
      <c r="B55" s="18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  <c r="AA55" s="18" t="n"/>
      <c r="AB55" s="18" t="n"/>
      <c r="AC55" s="18" t="n"/>
      <c r="AD55" s="18" t="n"/>
      <c r="AE55" s="18" t="n"/>
      <c r="AF55" s="18" t="n"/>
    </row>
    <row r="56" ht="12.75" customHeight="1" s="156">
      <c r="A56" s="18" t="n"/>
      <c r="B56" s="18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  <c r="AA56" s="18" t="n"/>
      <c r="AB56" s="18" t="n"/>
      <c r="AC56" s="18" t="n"/>
      <c r="AD56" s="18" t="n"/>
      <c r="AE56" s="18" t="n"/>
      <c r="AF56" s="18" t="n"/>
    </row>
    <row r="57" ht="12.75" customHeight="1" s="156">
      <c r="A57" s="18" t="n"/>
      <c r="B57" s="18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  <c r="AA57" s="18" t="n"/>
      <c r="AB57" s="18" t="n"/>
      <c r="AC57" s="18" t="n"/>
      <c r="AD57" s="18" t="n"/>
      <c r="AE57" s="18" t="n"/>
      <c r="AF57" s="18" t="n"/>
    </row>
    <row r="58" ht="12.75" customHeight="1" s="156">
      <c r="A58" s="18" t="n"/>
      <c r="B58" s="18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18" t="n"/>
      <c r="AB58" s="18" t="n"/>
      <c r="AC58" s="18" t="n"/>
      <c r="AD58" s="18" t="n"/>
      <c r="AE58" s="18" t="n"/>
      <c r="AF58" s="18" t="n"/>
    </row>
    <row r="59" ht="12.75" customHeight="1" s="156">
      <c r="A59" s="18" t="n"/>
      <c r="B59" s="1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  <c r="AA59" s="18" t="n"/>
      <c r="AB59" s="18" t="n"/>
      <c r="AC59" s="18" t="n"/>
      <c r="AD59" s="18" t="n"/>
      <c r="AE59" s="18" t="n"/>
      <c r="AF59" s="18" t="n"/>
    </row>
    <row r="60" ht="12.75" customHeight="1" s="156"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  <c r="AA60" s="18" t="n"/>
      <c r="AB60" s="18" t="n"/>
      <c r="AC60" s="18" t="n"/>
      <c r="AD60" s="18" t="n"/>
      <c r="AE60" s="18" t="n"/>
      <c r="AF60" s="18" t="n"/>
    </row>
    <row r="61" ht="12.75" customHeight="1" s="156"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  <c r="AA61" s="18" t="n"/>
      <c r="AB61" s="18" t="n"/>
      <c r="AC61" s="18" t="n"/>
      <c r="AD61" s="18" t="n"/>
      <c r="AE61" s="18" t="n"/>
      <c r="AF61" s="18" t="n"/>
    </row>
    <row r="62" ht="12.75" customHeight="1" s="156"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  <c r="AA62" s="18" t="n"/>
      <c r="AB62" s="18" t="n"/>
      <c r="AC62" s="18" t="n"/>
      <c r="AD62" s="18" t="n"/>
      <c r="AE62" s="18" t="n"/>
      <c r="AF62" s="18" t="n"/>
    </row>
    <row r="63" ht="12.75" customHeight="1" s="156"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  <c r="AA63" s="18" t="n"/>
      <c r="AB63" s="18" t="n"/>
      <c r="AC63" s="18" t="n"/>
      <c r="AD63" s="18" t="n"/>
      <c r="AE63" s="18" t="n"/>
      <c r="AF63" s="18" t="n"/>
    </row>
    <row r="64" ht="12.75" customHeight="1" s="156"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  <c r="AA64" s="18" t="n"/>
      <c r="AB64" s="18" t="n"/>
      <c r="AC64" s="18" t="n"/>
      <c r="AD64" s="18" t="n"/>
      <c r="AE64" s="18" t="n"/>
      <c r="AF64" s="18" t="n"/>
    </row>
    <row r="65" ht="12.75" customHeight="1" s="156"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2.75" customHeight="1" s="156"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2.75" customHeight="1" s="156"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2.75" customHeight="1" s="156"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2.75" customHeight="1" s="156"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2.75" customHeight="1" s="156"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2.75" customHeight="1" s="156"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2.75" customHeight="1" s="156"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2.75" customHeight="1" s="156"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2.75" customHeight="1" s="156"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2.75" customHeight="1" s="156"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2.75" customHeight="1" s="156"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2.75" customHeight="1" s="156"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2.75" customHeight="1" s="156"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2.75" customHeight="1" s="156"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2.75" customHeight="1" s="156"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2.75" customHeight="1" s="156"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2.75" customHeight="1" s="156"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2.75" customHeight="1" s="156"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2.75" customHeight="1" s="156"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2.75" customHeight="1" s="156"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2.75" customHeight="1" s="156"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2.75" customHeight="1" s="156"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2.75" customHeight="1" s="156"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2.75" customHeight="1" s="156"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2.75" customHeight="1" s="156"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2.75" customHeight="1" s="156"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2.75" customHeight="1" s="156"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2.75" customHeight="1" s="156"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2.75" customHeight="1" s="156"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2.75" customHeight="1" s="156"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2.75" customHeight="1" s="156"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2.75" customHeight="1" s="156"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2.75" customHeight="1" s="156"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2.75" customHeight="1" s="156"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2.75" customHeight="1" s="156"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2.75" customHeight="1" s="156"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2.75" customHeight="1" s="156"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2.75" customHeight="1" s="156"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2.75" customHeight="1" s="156"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2.75" customHeight="1" s="156"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2.75" customHeight="1" s="156"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2.75" customHeight="1" s="156"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2.75" customHeight="1" s="156"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2.75" customHeight="1" s="156"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2.75" customHeight="1" s="156"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2.75" customHeight="1" s="156"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2.75" customHeight="1" s="156"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2.75" customHeight="1" s="156"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2.75" customHeight="1" s="156"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2.75" customHeight="1" s="156"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2.75" customHeight="1" s="156"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2.75" customHeight="1" s="156"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2.75" customHeight="1" s="156"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2.75" customHeight="1" s="156"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2.75" customHeight="1" s="156"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2.75" customHeight="1" s="156"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2.75" customHeight="1" s="156"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2.75" customHeight="1" s="156"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2.75" customHeight="1" s="156"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2.75" customHeight="1" s="156"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2.75" customHeight="1" s="156"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2.75" customHeight="1" s="156"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2.75" customHeight="1" s="156"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2.75" customHeight="1" s="156"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2.75" customHeight="1" s="156"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2.75" customHeight="1" s="156"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2.75" customHeight="1" s="156"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2.75" customHeight="1" s="156"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2.75" customHeight="1" s="156"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2.75" customHeight="1" s="156"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2.75" customHeight="1" s="156"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2.75" customHeight="1" s="156"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2.75" customHeight="1" s="156"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2.75" customHeight="1" s="156"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2.75" customHeight="1" s="156"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2.75" customHeight="1" s="156"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2.75" customHeight="1" s="156"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2.75" customHeight="1" s="156"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2.75" customHeight="1" s="156"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2.75" customHeight="1" s="156"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2.75" customHeight="1" s="156"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2.75" customHeight="1" s="156"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2.75" customHeight="1" s="156"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2.75" customHeight="1" s="156"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2.75" customHeight="1" s="156"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2.75" customHeight="1" s="156"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2.75" customHeight="1" s="156"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2.75" customHeight="1" s="156"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2.75" customHeight="1" s="156"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2.75" customHeight="1" s="156"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2.75" customHeight="1" s="156"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2.75" customHeight="1" s="156"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2.75" customHeight="1" s="156"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2.75" customHeight="1" s="156"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2.75" customHeight="1" s="156"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2.75" customHeight="1" s="156"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2.75" customHeight="1" s="156"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2.75" customHeight="1" s="156"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2.75" customHeight="1" s="156"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2.75" customHeight="1" s="156"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2.75" customHeight="1" s="156"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2.75" customHeight="1" s="156"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2.75" customHeight="1" s="156"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2.75" customHeight="1" s="156"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2.75" customHeight="1" s="156"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2.75" customHeight="1" s="156"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2.75" customHeight="1" s="156"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2.75" customHeight="1" s="156"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2.75" customHeight="1" s="156"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2.75" customHeight="1" s="156"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2.75" customHeight="1" s="156"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2.75" customHeight="1" s="156"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2.75" customHeight="1" s="156"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2.75" customHeight="1" s="156"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2.75" customHeight="1" s="156"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2.75" customHeight="1" s="156"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2.75" customHeight="1" s="156"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2.75" customHeight="1" s="156"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2.75" customHeight="1" s="156"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2.75" customHeight="1" s="156"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2.75" customHeight="1" s="156"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2.75" customHeight="1" s="156"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2.75" customHeight="1" s="156"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2.75" customHeight="1" s="156"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2.75" customHeight="1" s="156"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2.75" customHeight="1" s="156"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2.75" customHeight="1" s="156"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2.75" customHeight="1" s="156"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2.75" customHeight="1" s="156"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2.75" customHeight="1" s="156"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2.75" customHeight="1" s="156"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2.75" customHeight="1" s="156"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2.75" customHeight="1" s="156"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2.75" customHeight="1" s="156"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2.75" customHeight="1" s="156"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2.75" customHeight="1" s="156"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2.75" customHeight="1" s="156"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2.75" customHeight="1" s="156"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2.75" customHeight="1" s="156"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2.75" customHeight="1" s="156"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2.75" customHeight="1" s="156"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2.75" customHeight="1" s="156"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2.75" customHeight="1" s="156"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2.75" customHeight="1" s="156"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2.75" customHeight="1" s="156"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2.75" customHeight="1" s="156"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2.75" customHeight="1" s="156"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2.75" customHeight="1" s="156"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2.75" customHeight="1" s="156"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2.75" customHeight="1" s="156"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2.75" customHeight="1" s="156"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2.75" customHeight="1" s="156"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2.75" customHeight="1" s="156"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2.75" customHeight="1" s="156"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2.75" customHeight="1" s="156"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2.75" customHeight="1" s="156"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2.75" customHeight="1" s="156"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2.75" customHeight="1" s="156"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2.75" customHeight="1" s="156"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2.75" customHeight="1" s="156"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1">
    <mergeCell ref="C12:H12"/>
  </mergeCells>
  <pageMargins left="0.75" right="0.75" top="1" bottom="1" header="0" footer="0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40"/>
  <sheetViews>
    <sheetView showGridLines="0" workbookViewId="0">
      <selection activeCell="A1" sqref="A1"/>
    </sheetView>
  </sheetViews>
  <sheetFormatPr baseColWidth="10" defaultColWidth="14.5" defaultRowHeight="15" customHeight="1"/>
  <cols>
    <col width="28.83203125" customWidth="1" style="156" min="1" max="1"/>
    <col width="11.1640625" customWidth="1" style="156" min="2" max="2"/>
    <col width="10.83203125" customWidth="1" style="156" min="3" max="3"/>
    <col width="9.6640625" customWidth="1" style="156" min="4" max="4"/>
    <col width="17.1640625" customWidth="1" style="156" min="5" max="5"/>
    <col width="9.5" customWidth="1" style="156" min="6" max="7"/>
    <col width="10.6640625" customWidth="1" style="156" min="8" max="8"/>
    <col width="9.5" customWidth="1" style="156" min="9" max="9"/>
    <col width="11.33203125" customWidth="1" style="156" min="10" max="10"/>
    <col width="12.33203125" customWidth="1" style="156" min="11" max="11"/>
    <col width="12.1640625" customWidth="1" style="156" min="12" max="12"/>
    <col width="10.5" customWidth="1" style="156" min="13" max="13"/>
    <col width="10.6640625" customWidth="1" style="156" min="14" max="26"/>
  </cols>
  <sheetData>
    <row r="1" ht="20" customHeight="1" s="156">
      <c r="A1" s="17">
        <f>'Est. Res. Proy.'!A2</f>
        <v/>
      </c>
      <c r="B1" s="52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18" customHeight="1" s="156">
      <c r="A2" s="54" t="inlineStr">
        <is>
          <t>Planilla de Gastos</t>
        </is>
      </c>
      <c r="B2" s="54" t="n"/>
      <c r="C2" s="54" t="n"/>
      <c r="D2" s="54" t="n"/>
      <c r="E2" s="54" t="n"/>
      <c r="F2" s="54" t="n"/>
      <c r="G2" s="54" t="n"/>
      <c r="H2" s="18" t="n"/>
      <c r="I2" s="18" t="n"/>
      <c r="J2" s="18" t="n"/>
      <c r="K2" s="18" t="n"/>
      <c r="L2" s="18" t="n"/>
      <c r="M2" s="18" t="n"/>
      <c r="N2" s="63" t="inlineStr">
        <is>
          <t> </t>
        </is>
      </c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2.75" customHeight="1" s="156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49" t="inlineStr">
        <is>
          <t> </t>
        </is>
      </c>
      <c r="O3" s="49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12.75" customHeight="1" s="156">
      <c r="A4" s="211" t="inlineStr">
        <is>
          <t>Período</t>
        </is>
      </c>
      <c r="B4" s="212" t="n"/>
      <c r="C4" s="246" t="inlineStr">
        <is>
          <t>Año 0</t>
        </is>
      </c>
      <c r="D4" s="276" t="n"/>
      <c r="E4" s="276" t="n"/>
      <c r="F4" s="276" t="n"/>
      <c r="G4" s="276" t="n"/>
      <c r="H4" s="276" t="n"/>
      <c r="I4" s="276" t="n"/>
      <c r="J4" s="246" t="inlineStr">
        <is>
          <t>Año 1</t>
        </is>
      </c>
      <c r="K4" s="246" t="inlineStr">
        <is>
          <t>Año 2</t>
        </is>
      </c>
      <c r="L4" s="93" t="inlineStr">
        <is>
          <t>Total</t>
        </is>
      </c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</row>
    <row r="5" ht="12.75" customHeight="1" s="156">
      <c r="A5" s="95" t="inlineStr">
        <is>
          <t>Concepto</t>
        </is>
      </c>
      <c r="B5" s="96" t="inlineStr">
        <is>
          <t>Start-up</t>
        </is>
      </c>
      <c r="C5" s="97" t="n">
        <v>1</v>
      </c>
      <c r="D5" s="97" t="n">
        <v>2</v>
      </c>
      <c r="E5" s="97" t="n">
        <v>3</v>
      </c>
      <c r="F5" s="97" t="n">
        <v>4</v>
      </c>
      <c r="G5" s="97" t="n">
        <v>5</v>
      </c>
      <c r="H5" s="97" t="n">
        <v>6</v>
      </c>
      <c r="I5" s="97" t="n">
        <v>7</v>
      </c>
      <c r="J5" s="98" t="inlineStr">
        <is>
          <t>1-12</t>
        </is>
      </c>
      <c r="K5" s="98" t="inlineStr">
        <is>
          <t>1-12</t>
        </is>
      </c>
      <c r="L5" s="213" t="inlineStr">
        <is>
          <t>1-6</t>
        </is>
      </c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</row>
    <row r="6" ht="12.75" customHeight="1" s="156">
      <c r="A6" s="155" t="inlineStr">
        <is>
          <t>Recursos Humanos</t>
        </is>
      </c>
      <c r="B6" s="99">
        <f>RRHH!C30</f>
        <v/>
      </c>
      <c r="C6" s="99">
        <f>RRHH!D30</f>
        <v/>
      </c>
      <c r="D6" s="99">
        <f>RRHH!E30</f>
        <v/>
      </c>
      <c r="E6" s="99">
        <f>RRHH!F30</f>
        <v/>
      </c>
      <c r="F6" s="99">
        <f>RRHH!G30</f>
        <v/>
      </c>
      <c r="G6" s="99">
        <f>RRHH!H30</f>
        <v/>
      </c>
      <c r="H6" s="99">
        <f>RRHH!I30</f>
        <v/>
      </c>
      <c r="I6" s="99">
        <f>RRHH!J30</f>
        <v/>
      </c>
      <c r="J6" s="99">
        <f>RRHH!K30</f>
        <v/>
      </c>
      <c r="K6" s="99">
        <f>RRHH!L30</f>
        <v/>
      </c>
      <c r="L6" s="79">
        <f>SUM(B6:K6)</f>
        <v/>
      </c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 ht="12.75" customHeight="1" s="156">
      <c r="A7" s="155" t="inlineStr">
        <is>
          <t>Muebles y Utiles</t>
        </is>
      </c>
      <c r="B7" s="79">
        <f>Inversiones!D11</f>
        <v/>
      </c>
      <c r="C7" s="79" t="n">
        <v>0</v>
      </c>
      <c r="D7" s="79" t="n">
        <v>0</v>
      </c>
      <c r="E7" s="79" t="n">
        <v>0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9" t="n">
        <v>0</v>
      </c>
      <c r="L7" s="79">
        <f>SUM(B7:K7)</f>
        <v/>
      </c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 ht="12.75" customHeight="1" s="156">
      <c r="A8" s="155" t="inlineStr">
        <is>
          <t>Equipamiento</t>
        </is>
      </c>
      <c r="B8" s="79">
        <f>Inversiones!D20</f>
        <v/>
      </c>
      <c r="C8" s="79" t="n">
        <v>0</v>
      </c>
      <c r="D8" s="79" t="n">
        <v>0</v>
      </c>
      <c r="E8" s="79" t="n">
        <v>0</v>
      </c>
      <c r="F8" s="79" t="n">
        <v>0</v>
      </c>
      <c r="G8" s="79" t="n">
        <v>0</v>
      </c>
      <c r="H8" s="79" t="n">
        <v>0</v>
      </c>
      <c r="I8" s="79" t="n">
        <v>0</v>
      </c>
      <c r="J8" s="79" t="n">
        <v>0</v>
      </c>
      <c r="K8" s="79" t="n">
        <v>0</v>
      </c>
      <c r="L8" s="79">
        <f>SUM(B8:K8)</f>
        <v/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ht="12.75" customHeight="1" s="156">
      <c r="A9" s="80" t="inlineStr">
        <is>
          <t>Equipamiento Simulador</t>
        </is>
      </c>
      <c r="B9" s="79">
        <f>Inversiones!D44</f>
        <v/>
      </c>
      <c r="C9" s="79" t="n">
        <v>0</v>
      </c>
      <c r="D9" s="79" t="n">
        <v>0</v>
      </c>
      <c r="E9" s="79" t="n">
        <v>0</v>
      </c>
      <c r="F9" s="79" t="n">
        <v>0</v>
      </c>
      <c r="G9" s="79" t="n">
        <v>0</v>
      </c>
      <c r="H9" s="79" t="n">
        <v>0</v>
      </c>
      <c r="I9" s="79" t="n">
        <v>0</v>
      </c>
      <c r="J9" s="79">
        <f>C37*B37</f>
        <v/>
      </c>
      <c r="K9" s="79">
        <f>E37*D37</f>
        <v/>
      </c>
      <c r="L9" s="79">
        <f>SUM(B9:K9)</f>
        <v/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ht="12.75" customHeight="1" s="156">
      <c r="A10" s="155" t="inlineStr">
        <is>
          <t>Alquiler de Oficina</t>
        </is>
      </c>
      <c r="B10" s="83" t="n">
        <v>0</v>
      </c>
      <c r="C10" s="83" t="n">
        <v>350000</v>
      </c>
      <c r="D10" s="83" t="n">
        <v>350000</v>
      </c>
      <c r="E10" s="83" t="n">
        <v>350000</v>
      </c>
      <c r="F10" s="83" t="n">
        <v>350000</v>
      </c>
      <c r="G10" s="83" t="n">
        <v>350000</v>
      </c>
      <c r="H10" s="83" t="n">
        <v>350000</v>
      </c>
      <c r="I10" s="83" t="n">
        <v>350000</v>
      </c>
      <c r="J10" s="79" t="n">
        <v>4200000</v>
      </c>
      <c r="K10" s="277" t="n">
        <v>5040000</v>
      </c>
      <c r="L10" s="79">
        <f>SUM(B10:K10)</f>
        <v/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ht="12.75" customHeight="1" s="156">
      <c r="A11" s="155" t="inlineStr">
        <is>
          <t>Expensas</t>
        </is>
      </c>
      <c r="B11" s="83" t="n">
        <v>0</v>
      </c>
      <c r="C11" s="83" t="n">
        <v>40000</v>
      </c>
      <c r="D11" s="83" t="n">
        <v>40000</v>
      </c>
      <c r="E11" s="83" t="n">
        <v>40000</v>
      </c>
      <c r="F11" s="83" t="n">
        <v>40000</v>
      </c>
      <c r="G11" s="83" t="n">
        <v>40000</v>
      </c>
      <c r="H11" s="83" t="n">
        <v>40000</v>
      </c>
      <c r="I11" s="83" t="n">
        <v>40000</v>
      </c>
      <c r="J11" s="83" t="n">
        <v>480000</v>
      </c>
      <c r="K11" s="83" t="n">
        <v>576000</v>
      </c>
      <c r="L11" s="79">
        <f>SUM(B11:K11)</f>
        <v/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ht="12.75" customHeight="1" s="156">
      <c r="A12" s="155" t="inlineStr">
        <is>
          <t>Servicios Públicos e Impuestos</t>
        </is>
      </c>
      <c r="B12" s="79" t="n">
        <v>60000</v>
      </c>
      <c r="C12" s="79" t="n">
        <v>60000</v>
      </c>
      <c r="D12" s="79" t="n">
        <v>60000</v>
      </c>
      <c r="E12" s="79" t="n">
        <v>60000</v>
      </c>
      <c r="F12" s="79" t="n">
        <v>60000</v>
      </c>
      <c r="G12" s="79" t="n">
        <v>60000</v>
      </c>
      <c r="H12" s="79" t="n">
        <v>60000</v>
      </c>
      <c r="I12" s="79" t="n">
        <v>60000</v>
      </c>
      <c r="J12" s="277" t="n">
        <v>720000</v>
      </c>
      <c r="K12" s="277" t="n">
        <v>864000</v>
      </c>
      <c r="L12" s="79">
        <f>SUM(B12:K12)</f>
        <v/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ht="12.75" customHeight="1" s="156">
      <c r="A13" s="101" t="inlineStr">
        <is>
          <t>Papeleria y útiles</t>
        </is>
      </c>
      <c r="B13" s="79" t="n">
        <v>0</v>
      </c>
      <c r="C13" s="79" t="n">
        <v>15000</v>
      </c>
      <c r="D13" s="79" t="n">
        <v>15000</v>
      </c>
      <c r="E13" s="79" t="n">
        <v>15000</v>
      </c>
      <c r="F13" s="79" t="n">
        <v>15000</v>
      </c>
      <c r="G13" s="79" t="n">
        <v>15000</v>
      </c>
      <c r="H13" s="79" t="n">
        <v>15000</v>
      </c>
      <c r="I13" s="79" t="n">
        <v>15000</v>
      </c>
      <c r="J13" s="83" t="n">
        <v>180000</v>
      </c>
      <c r="K13" s="83" t="n">
        <v>216000</v>
      </c>
      <c r="L13" s="79">
        <f>SUM(B13:K13)</f>
        <v/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2.75" customHeight="1" s="156">
      <c r="A14" s="102" t="inlineStr">
        <is>
          <t>Telefono y Celulares</t>
        </is>
      </c>
      <c r="B14" s="79" t="n">
        <v>50000</v>
      </c>
      <c r="C14" s="79" t="n">
        <v>50000</v>
      </c>
      <c r="D14" s="79" t="n">
        <v>50000</v>
      </c>
      <c r="E14" s="79" t="n">
        <v>50000</v>
      </c>
      <c r="F14" s="79" t="n">
        <v>50000</v>
      </c>
      <c r="G14" s="79" t="n">
        <v>50000</v>
      </c>
      <c r="H14" s="79" t="n">
        <v>50000</v>
      </c>
      <c r="I14" s="79" t="n">
        <v>50000</v>
      </c>
      <c r="J14" s="83" t="n">
        <v>600000</v>
      </c>
      <c r="K14" s="83" t="n">
        <v>720000</v>
      </c>
      <c r="L14" s="79">
        <f>SUM(B14:K14)</f>
        <v/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2.75" customHeight="1" s="156">
      <c r="A15" s="102" t="inlineStr">
        <is>
          <t>Movilidad y Viaticos</t>
        </is>
      </c>
      <c r="B15" s="79" t="n">
        <v>0</v>
      </c>
      <c r="C15" s="79" t="n">
        <v>80000</v>
      </c>
      <c r="D15" s="79" t="n">
        <v>80000</v>
      </c>
      <c r="E15" s="79" t="n">
        <v>80000</v>
      </c>
      <c r="F15" s="79" t="n">
        <v>80000</v>
      </c>
      <c r="G15" s="79" t="n">
        <v>80000</v>
      </c>
      <c r="H15" s="79" t="n">
        <v>80000</v>
      </c>
      <c r="I15" s="79" t="n">
        <v>80000</v>
      </c>
      <c r="J15" s="79" t="n">
        <v>2400000</v>
      </c>
      <c r="K15" s="79" t="n">
        <v>5600000</v>
      </c>
      <c r="L15" s="79">
        <f>SUM(B15:K15)</f>
        <v/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2.75" customHeight="1" s="156">
      <c r="A16" s="102" t="inlineStr">
        <is>
          <t>Seguros (1% de Activos)</t>
        </is>
      </c>
      <c r="B16" s="79" t="n">
        <v>0</v>
      </c>
      <c r="C16" s="79" t="n">
        <v>0</v>
      </c>
      <c r="D16" s="79" t="n">
        <v>0</v>
      </c>
      <c r="E16" s="79" t="n">
        <v>0</v>
      </c>
      <c r="F16" s="79" t="n">
        <v>0</v>
      </c>
      <c r="G16" s="79" t="n">
        <v>0</v>
      </c>
      <c r="H16" s="79" t="n">
        <v>0</v>
      </c>
      <c r="I16" s="79" t="n">
        <v>0</v>
      </c>
      <c r="J16" s="79" t="n">
        <v>400000</v>
      </c>
      <c r="K16" s="79" t="n">
        <v>700000</v>
      </c>
      <c r="L16" s="79">
        <f>SUM(B16:K16)</f>
        <v/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2.75" customHeight="1" s="156">
      <c r="A17" s="102" t="inlineStr">
        <is>
          <t>Conexión a Internet</t>
        </is>
      </c>
      <c r="B17" s="214" t="n">
        <v>100000</v>
      </c>
      <c r="C17" s="214" t="n">
        <v>100000</v>
      </c>
      <c r="D17" s="214" t="n">
        <v>100000</v>
      </c>
      <c r="E17" s="214" t="n">
        <v>100000</v>
      </c>
      <c r="F17" s="214" t="n">
        <v>100000</v>
      </c>
      <c r="G17" s="214" t="n">
        <v>100000</v>
      </c>
      <c r="H17" s="214" t="n">
        <v>100000</v>
      </c>
      <c r="I17" s="214" t="n">
        <v>100000</v>
      </c>
      <c r="J17" s="214" t="n">
        <v>1200000</v>
      </c>
      <c r="K17" s="214" t="n">
        <v>1440000</v>
      </c>
      <c r="L17" s="79">
        <f>SUM(B17:K17)</f>
        <v/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2.75" customHeight="1" s="156">
      <c r="A18" s="102" t="inlineStr">
        <is>
          <t>Proveedores</t>
        </is>
      </c>
      <c r="B18" s="79" t="n">
        <v>0</v>
      </c>
      <c r="C18" s="79" t="n">
        <v>60000</v>
      </c>
      <c r="D18" s="79" t="n">
        <v>60000</v>
      </c>
      <c r="E18" s="79" t="n">
        <v>60000</v>
      </c>
      <c r="F18" s="79" t="n">
        <v>60000</v>
      </c>
      <c r="G18" s="79" t="n">
        <v>60000</v>
      </c>
      <c r="H18" s="79" t="n">
        <v>60000</v>
      </c>
      <c r="I18" s="79" t="n">
        <v>60000</v>
      </c>
      <c r="J18" s="79" t="n">
        <v>1800000</v>
      </c>
      <c r="K18" s="79" t="n">
        <v>3200000</v>
      </c>
      <c r="L18" s="79">
        <f>SUM(B18:K18)</f>
        <v/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2.75" customHeight="1" s="156">
      <c r="A19" s="102" t="inlineStr">
        <is>
          <t>Campaña de Marketing</t>
        </is>
      </c>
      <c r="B19" s="83" t="n">
        <v>0</v>
      </c>
      <c r="C19" s="79" t="n">
        <v>0</v>
      </c>
      <c r="D19" s="79" t="n">
        <v>0</v>
      </c>
      <c r="E19" s="79" t="n">
        <v>0</v>
      </c>
      <c r="F19" s="79" t="n">
        <v>0</v>
      </c>
      <c r="G19" s="79" t="n">
        <v>0</v>
      </c>
      <c r="H19" s="79" t="n">
        <v>150000</v>
      </c>
      <c r="I19" s="79" t="n">
        <v>150000</v>
      </c>
      <c r="J19" s="83" t="n">
        <v>2000000</v>
      </c>
      <c r="K19" s="83" t="n">
        <v>3000000</v>
      </c>
      <c r="L19" s="79">
        <f>SUM(B19:K19)</f>
        <v/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2.75" customHeight="1" s="156">
      <c r="A20" s="102" t="n"/>
      <c r="B20" s="278" t="n"/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79">
        <f>SUM(B20:K20)</f>
        <v/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2.75" customHeight="1" s="156">
      <c r="A21" s="215" t="inlineStr">
        <is>
          <t>Total de Egresos</t>
        </is>
      </c>
      <c r="B21" s="280">
        <f>SUM(B6:B20)</f>
        <v/>
      </c>
      <c r="C21" s="280">
        <f>SUM(C6:C20)</f>
        <v/>
      </c>
      <c r="D21" s="280">
        <f>SUM(D6:D20)</f>
        <v/>
      </c>
      <c r="E21" s="280">
        <f>SUM(E6:E20)</f>
        <v/>
      </c>
      <c r="F21" s="280">
        <f>SUM(F6:F20)</f>
        <v/>
      </c>
      <c r="G21" s="280">
        <f>SUM(G6:G20)</f>
        <v/>
      </c>
      <c r="H21" s="280">
        <f>SUM(H6:H20)</f>
        <v/>
      </c>
      <c r="I21" s="280">
        <f>SUM(I6:I20)</f>
        <v/>
      </c>
      <c r="J21" s="280">
        <f>SUM(J6:J20)</f>
        <v/>
      </c>
      <c r="K21" s="280">
        <f>SUM(K6:K20)</f>
        <v/>
      </c>
      <c r="L21" s="280">
        <f>SUM(L6:L20)</f>
        <v/>
      </c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 ht="12.75" customHeight="1" s="156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2.75" customHeight="1" s="156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2.75" customHeight="1" s="156">
      <c r="A24" s="281" t="inlineStr">
        <is>
          <t>Análisis del crédito bancario</t>
        </is>
      </c>
      <c r="B24" s="282" t="n"/>
      <c r="C24" s="18" t="n"/>
      <c r="D24" s="85" t="n"/>
      <c r="E24" s="18" t="n"/>
      <c r="F24" s="18" t="n"/>
      <c r="G24" s="18" t="n"/>
      <c r="H24" s="106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2.75" customHeight="1" s="156">
      <c r="A25" s="283" t="inlineStr">
        <is>
          <t>Sistema de Amortización Pago Único</t>
        </is>
      </c>
      <c r="B25" s="284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inlineStr">
        <is>
          <t> </t>
        </is>
      </c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2.75" customHeight="1" s="156">
      <c r="A26" s="107" t="inlineStr">
        <is>
          <t>Capital</t>
        </is>
      </c>
      <c r="B26" s="285" t="inlineStr">
        <is>
          <t>N/A</t>
        </is>
      </c>
      <c r="C26" s="18" t="inlineStr">
        <is>
          <t> </t>
        </is>
      </c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inlineStr">
        <is>
          <t> </t>
        </is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2.75" customHeight="1" s="156">
      <c r="A27" s="102" t="inlineStr">
        <is>
          <t>Tasa de interés</t>
        </is>
      </c>
      <c r="B27" s="285" t="inlineStr">
        <is>
          <t>N/A</t>
        </is>
      </c>
      <c r="C27" s="18" t="inlineStr">
        <is>
          <t>TEM</t>
        </is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2.75" customHeight="1" s="156">
      <c r="A28" s="102" t="inlineStr">
        <is>
          <t>Cantidad de periodos</t>
        </is>
      </c>
      <c r="B28" s="285" t="inlineStr">
        <is>
          <t>N/A</t>
        </is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inlineStr">
        <is>
          <t> </t>
        </is>
      </c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2.75" customHeight="1" s="156">
      <c r="A29" s="109" t="inlineStr">
        <is>
          <t>Monto final préstamo</t>
        </is>
      </c>
      <c r="B29" s="286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2.75" customHeight="1" s="156">
      <c r="A30" s="109" t="inlineStr">
        <is>
          <t>Monto por mes en base a periodo</t>
        </is>
      </c>
      <c r="B30" s="286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2.75" customHeight="1" s="156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inlineStr">
        <is>
          <t>|</t>
        </is>
      </c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2.75" customHeight="1" s="156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2.75" customHeight="1" s="156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2.75" customHeight="1" s="156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5.75" customHeight="1" s="156">
      <c r="A35" s="206" t="inlineStr">
        <is>
          <t>Detalle</t>
        </is>
      </c>
      <c r="B35" s="111" t="inlineStr">
        <is>
          <t>Costo x Unidad</t>
        </is>
      </c>
      <c r="C35" s="112" t="inlineStr">
        <is>
          <t>Cantidad de unidades fabricadas</t>
        </is>
      </c>
      <c r="D35" s="111" t="inlineStr">
        <is>
          <t>Costo x Unidad</t>
        </is>
      </c>
      <c r="E35" s="112" t="inlineStr">
        <is>
          <t>Cantidad de unidades fabricadas</t>
        </is>
      </c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2.75" customHeight="1" s="156">
      <c r="A36" s="78" t="n"/>
      <c r="B36" s="88" t="inlineStr">
        <is>
          <t xml:space="preserve">Año 1 </t>
        </is>
      </c>
      <c r="C36" s="88" t="inlineStr">
        <is>
          <t>Año 1</t>
        </is>
      </c>
      <c r="D36" s="88" t="inlineStr">
        <is>
          <t xml:space="preserve">Año 2 </t>
        </is>
      </c>
      <c r="E36" s="88" t="inlineStr">
        <is>
          <t>Año 2</t>
        </is>
      </c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2.75" customHeight="1" s="156">
      <c r="A37" s="113" t="inlineStr">
        <is>
          <t xml:space="preserve">Costo por Producto X </t>
        </is>
      </c>
      <c r="B37" s="91">
        <f>Inversiones!D44/Inversiones!C29</f>
        <v/>
      </c>
      <c r="C37" s="90" t="n">
        <v>3</v>
      </c>
      <c r="D37" s="91">
        <f>B37+B37*'Est. Res. Proy.'!E20</f>
        <v/>
      </c>
      <c r="E37" s="90" t="n">
        <v>7</v>
      </c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2.75" customHeight="1" s="156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2.75" customHeight="1" s="156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2.75" customHeight="1" s="156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2.75" customHeight="1" s="156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2.75" customHeight="1" s="156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2.75" customHeight="1" s="156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2.75" customHeight="1" s="156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2.75" customHeight="1" s="156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2.75" customHeight="1" s="15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2.75" customHeight="1" s="156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2.75" customHeight="1" s="156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2.75" customHeight="1" s="156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2.75" customHeight="1" s="156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2.75" customHeight="1" s="156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2.75" customHeight="1" s="156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2.75" customHeight="1" s="156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2.75" customHeight="1" s="156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2.75" customHeight="1" s="156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2.75" customHeight="1" s="1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2.75" customHeight="1" s="156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2.75" customHeight="1" s="156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2.75" customHeight="1" s="156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2.75" customHeight="1" s="156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2.75" customHeight="1" s="156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2.75" customHeight="1" s="156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2.75" customHeight="1" s="156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2.75" customHeight="1" s="156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2.75" customHeight="1" s="156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2.75" customHeight="1" s="15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2.75" customHeight="1" s="156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2.75" customHeight="1" s="156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2.75" customHeight="1" s="156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2.75" customHeight="1" s="156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2.75" customHeight="1" s="156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2.75" customHeight="1" s="156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2.75" customHeight="1" s="156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2.75" customHeight="1" s="156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2.75" customHeight="1" s="156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2.75" customHeight="1" s="15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2.75" customHeight="1" s="156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2.75" customHeight="1" s="156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2.75" customHeight="1" s="156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2.75" customHeight="1" s="156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2.75" customHeight="1" s="156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2.75" customHeight="1" s="156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2.75" customHeight="1" s="156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2.75" customHeight="1" s="156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2.75" customHeight="1" s="156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2.75" customHeight="1" s="15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2.75" customHeight="1" s="156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2.75" customHeight="1" s="156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2.75" customHeight="1" s="156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2.75" customHeight="1" s="156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2.75" customHeight="1" s="156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2.75" customHeight="1" s="156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2.75" customHeight="1" s="156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2.75" customHeight="1" s="156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2.75" customHeight="1" s="156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2.75" customHeight="1" s="15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2.75" customHeight="1" s="156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2.75" customHeight="1" s="156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2.75" customHeight="1" s="156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2.75" customHeight="1" s="156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2.75" customHeight="1" s="156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2.75" customHeight="1" s="156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2.75" customHeight="1" s="156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2.75" customHeight="1" s="156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2.75" customHeight="1" s="156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2.75" customHeight="1" s="15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2.75" customHeight="1" s="156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2.75" customHeight="1" s="156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2.75" customHeight="1" s="156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2.75" customHeight="1" s="156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2.75" customHeight="1" s="156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2.75" customHeight="1" s="156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2.75" customHeight="1" s="156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2.75" customHeight="1" s="156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2.75" customHeight="1" s="156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2.75" customHeight="1" s="15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2.75" customHeight="1" s="156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2.75" customHeight="1" s="156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2.75" customHeight="1" s="156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2.75" customHeight="1" s="156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2.75" customHeight="1" s="156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2.75" customHeight="1" s="156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2.75" customHeight="1" s="156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2.75" customHeight="1" s="156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2.75" customHeight="1" s="156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2.75" customHeight="1" s="15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2.75" customHeight="1" s="156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2.75" customHeight="1" s="156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2.75" customHeight="1" s="156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2.75" customHeight="1" s="156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2.75" customHeight="1" s="156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2.75" customHeight="1" s="156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2.75" customHeight="1" s="156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2.75" customHeight="1" s="156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2.75" customHeight="1" s="156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2.75" customHeight="1" s="15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2.75" customHeight="1" s="156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2.75" customHeight="1" s="156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2.75" customHeight="1" s="156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2.75" customHeight="1" s="156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2.75" customHeight="1" s="156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2.75" customHeight="1" s="156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2.75" customHeight="1" s="156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2.75" customHeight="1" s="156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2.75" customHeight="1" s="156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2.75" customHeight="1" s="15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2.75" customHeight="1" s="156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2.75" customHeight="1" s="156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2.75" customHeight="1" s="156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2.75" customHeight="1" s="156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2.75" customHeight="1" s="156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2.75" customHeight="1" s="156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2.75" customHeight="1" s="156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2.75" customHeight="1" s="156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2.75" customHeight="1" s="156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2.75" customHeight="1" s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2.75" customHeight="1" s="156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2.75" customHeight="1" s="156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2.75" customHeight="1" s="156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2.75" customHeight="1" s="156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2.75" customHeight="1" s="156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2.75" customHeight="1" s="156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2.75" customHeight="1" s="156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2.75" customHeight="1" s="156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2.75" customHeight="1" s="156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2.75" customHeight="1" s="15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2.75" customHeight="1" s="156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2.75" customHeight="1" s="156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2.75" customHeight="1" s="156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2.75" customHeight="1" s="156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2.75" customHeight="1" s="156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2.75" customHeight="1" s="156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2.75" customHeight="1" s="156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2.75" customHeight="1" s="156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2.75" customHeight="1" s="156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2.75" customHeight="1" s="15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2.75" customHeight="1" s="156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2.75" customHeight="1" s="156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2.75" customHeight="1" s="156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2.75" customHeight="1" s="156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2.75" customHeight="1" s="156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2.75" customHeight="1" s="156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2.75" customHeight="1" s="156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2.75" customHeight="1" s="156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2.75" customHeight="1" s="156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2.75" customHeight="1" s="15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2.75" customHeight="1" s="156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2.75" customHeight="1" s="156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2.75" customHeight="1" s="156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2.75" customHeight="1" s="156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2.75" customHeight="1" s="156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2.75" customHeight="1" s="156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2.75" customHeight="1" s="156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2.75" customHeight="1" s="156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2.75" customHeight="1" s="156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2.75" customHeight="1" s="15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2.75" customHeight="1" s="156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2.75" customHeight="1" s="156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2.75" customHeight="1" s="156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2.75" customHeight="1" s="156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2.75" customHeight="1" s="156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2.75" customHeight="1" s="156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2.75" customHeight="1" s="156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2.75" customHeight="1" s="156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2.75" customHeight="1" s="156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2.75" customHeight="1" s="15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2.75" customHeight="1" s="156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2.75" customHeight="1" s="156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2.75" customHeight="1" s="156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2.75" customHeight="1" s="156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2.75" customHeight="1" s="156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2.75" customHeight="1" s="156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2.75" customHeight="1" s="156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2.75" customHeight="1" s="156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2.75" customHeight="1" s="156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2.75" customHeight="1" s="15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2.75" customHeight="1" s="156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2.75" customHeight="1" s="156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2.75" customHeight="1" s="156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2.75" customHeight="1" s="156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2.75" customHeight="1" s="156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2.75" customHeight="1" s="156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2.75" customHeight="1" s="156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2.75" customHeight="1" s="156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2.75" customHeight="1" s="156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2.75" customHeight="1" s="15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3">
    <mergeCell ref="A25:B25"/>
    <mergeCell ref="A24:B24"/>
    <mergeCell ref="C4:I4"/>
  </mergeCells>
  <pageMargins left="0.78740157480315" right="0.78740157480315" top="0.78740157480315" bottom="0.78740157480315" header="0" footer="0"/>
  <pageSetup orientation="landscape" scale="65"/>
  <headerFooter>
    <oddHeader/>
    <oddFooter>&amp;LCEA Confidential&amp;C&amp;A&amp;R&amp;D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40"/>
  <sheetViews>
    <sheetView showGridLines="0" workbookViewId="0">
      <selection activeCell="A1" sqref="A1"/>
    </sheetView>
  </sheetViews>
  <sheetFormatPr baseColWidth="10" defaultColWidth="14.5" defaultRowHeight="15" customHeight="1"/>
  <cols>
    <col width="26.6640625" customWidth="1" style="156" min="1" max="1"/>
    <col width="12" customWidth="1" style="156" min="2" max="2"/>
    <col width="9.5" customWidth="1" style="156" min="3" max="3"/>
    <col width="12" customWidth="1" style="156" min="4" max="4"/>
    <col width="11.6640625" customWidth="1" style="156" min="5" max="5"/>
    <col width="11.33203125" customWidth="1" style="156" min="6" max="6"/>
    <col width="13.5" customWidth="1" style="156" min="7" max="7"/>
    <col width="11.6640625" customWidth="1" style="156" min="8" max="8"/>
    <col width="14.1640625" customWidth="1" style="156" min="9" max="9"/>
    <col width="9.5" customWidth="1" style="156" min="10" max="10"/>
    <col width="11.1640625" customWidth="1" style="156" min="11" max="12"/>
    <col width="11.83203125" customWidth="1" style="156" min="13" max="13"/>
    <col width="2.1640625" customWidth="1" style="156" min="14" max="17"/>
    <col width="6.33203125" customWidth="1" style="156" min="18" max="19"/>
    <col width="6.6640625" bestFit="1" customWidth="1" style="156" min="20" max="20"/>
    <col width="9.1640625" customWidth="1" style="156" min="21" max="22"/>
    <col width="1.6640625" customWidth="1" style="156" min="23" max="25"/>
    <col width="9.1640625" customWidth="1" style="156" min="26" max="29"/>
    <col width="10.6640625" customWidth="1" style="156" min="30" max="30"/>
    <col width="3" customWidth="1" style="156" min="31" max="37"/>
    <col width="6" customWidth="1" style="156" min="38" max="38"/>
  </cols>
  <sheetData>
    <row r="1" ht="20" customHeight="1" s="156">
      <c r="A1" s="17">
        <f>'Est. Res. Proy.'!A2</f>
        <v/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</row>
    <row r="2" ht="18" customHeight="1" s="156">
      <c r="A2" s="54" t="inlineStr">
        <is>
          <t>Recursos Humanos</t>
        </is>
      </c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  <c r="K2" s="114" t="n"/>
      <c r="L2" s="114" t="n"/>
      <c r="M2" s="114" t="n"/>
      <c r="N2" s="115" t="n"/>
      <c r="O2" s="116" t="n"/>
      <c r="P2" s="114" t="inlineStr">
        <is>
          <t> </t>
        </is>
      </c>
      <c r="Q2" s="116" t="n"/>
      <c r="R2" s="116" t="n"/>
      <c r="S2" s="116" t="n"/>
      <c r="T2" s="116" t="n"/>
      <c r="U2" s="116" t="n"/>
      <c r="V2" s="116" t="n"/>
      <c r="W2" s="18" t="n"/>
      <c r="X2" s="116" t="n"/>
      <c r="Y2" s="115" t="n"/>
      <c r="Z2" s="116" t="n"/>
      <c r="AA2" s="114" t="n"/>
      <c r="AB2" s="116" t="n"/>
      <c r="AC2" s="116" t="n"/>
      <c r="AD2" s="116" t="n"/>
      <c r="AE2" s="18" t="n"/>
      <c r="AF2" s="18" t="n"/>
      <c r="AG2" s="18" t="n"/>
      <c r="AH2" s="18" t="n"/>
      <c r="AI2" s="18" t="n"/>
      <c r="AJ2" s="18" t="n"/>
      <c r="AK2" s="116" t="n"/>
    </row>
    <row r="3" ht="12.75" customHeight="1" s="156">
      <c r="A3" s="54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16" t="n"/>
      <c r="O3" s="116" t="n"/>
      <c r="P3" s="116" t="n"/>
      <c r="Q3" s="116" t="n"/>
      <c r="R3" s="116" t="n"/>
      <c r="S3" s="116" t="n"/>
      <c r="T3" s="116" t="n"/>
      <c r="U3" s="116" t="n"/>
      <c r="V3" s="116" t="n"/>
      <c r="W3" s="18" t="n"/>
      <c r="X3" s="116" t="n"/>
      <c r="Y3" s="116" t="n"/>
      <c r="Z3" s="116" t="n"/>
      <c r="AA3" s="116" t="n"/>
      <c r="AB3" s="116" t="n"/>
      <c r="AC3" s="116" t="n"/>
      <c r="AD3" s="116" t="n"/>
      <c r="AE3" s="18" t="n"/>
      <c r="AF3" s="18" t="n"/>
      <c r="AG3" s="18" t="n"/>
      <c r="AH3" s="18" t="n"/>
      <c r="AI3" s="18" t="n"/>
      <c r="AJ3" s="18" t="n"/>
      <c r="AK3" s="116" t="n"/>
    </row>
    <row r="4" ht="12.75" customHeight="1" s="156">
      <c r="A4" s="216" t="inlineStr">
        <is>
          <t>Período</t>
        </is>
      </c>
      <c r="B4" s="246" t="inlineStr">
        <is>
          <t>Sueldo</t>
        </is>
      </c>
      <c r="C4" s="246" t="inlineStr">
        <is>
          <t>Cargas</t>
        </is>
      </c>
      <c r="D4" s="246" t="inlineStr">
        <is>
          <t>Sueldo</t>
        </is>
      </c>
      <c r="E4" s="246" t="inlineStr">
        <is>
          <t>Aguinaldo</t>
        </is>
      </c>
      <c r="F4" s="246" t="inlineStr">
        <is>
          <t>Vacaciones</t>
        </is>
      </c>
      <c r="G4" s="246" t="inlineStr">
        <is>
          <t>Merma</t>
        </is>
      </c>
      <c r="H4" s="246" t="inlineStr">
        <is>
          <t>Ausentismo</t>
        </is>
      </c>
      <c r="I4" s="246" t="inlineStr">
        <is>
          <t xml:space="preserve">Costo Laboral </t>
        </is>
      </c>
      <c r="J4" s="93" t="inlineStr">
        <is>
          <t>Start-up</t>
        </is>
      </c>
      <c r="K4" s="251" t="inlineStr">
        <is>
          <t>Año 0</t>
        </is>
      </c>
      <c r="L4" s="276" t="n"/>
      <c r="M4" s="276" t="n"/>
      <c r="N4" s="276" t="n"/>
      <c r="O4" s="276" t="n"/>
      <c r="P4" s="276" t="n"/>
      <c r="Q4" s="276" t="n"/>
      <c r="R4" s="72" t="inlineStr">
        <is>
          <t>Año 1</t>
        </is>
      </c>
      <c r="S4" s="72" t="inlineStr">
        <is>
          <t>Año 2</t>
        </is>
      </c>
      <c r="T4" s="93" t="inlineStr">
        <is>
          <t>Total</t>
        </is>
      </c>
      <c r="U4" s="94" t="n"/>
      <c r="V4" s="94" t="n"/>
      <c r="W4" s="94" t="n"/>
      <c r="X4" s="117" t="n"/>
      <c r="Y4" s="94" t="n"/>
      <c r="Z4" s="94" t="n"/>
      <c r="AA4" s="94" t="n"/>
      <c r="AB4" s="94" t="n"/>
      <c r="AC4" s="94" t="n"/>
      <c r="AD4" s="94" t="n"/>
      <c r="AE4" s="94" t="n"/>
      <c r="AF4" s="94" t="n"/>
      <c r="AG4" s="94" t="n"/>
      <c r="AH4" s="94" t="n"/>
      <c r="AI4" s="94" t="n"/>
      <c r="AJ4" s="94" t="n"/>
      <c r="AK4" s="94" t="n"/>
    </row>
    <row r="5" ht="12.75" customHeight="1" s="156">
      <c r="A5" s="95" t="inlineStr">
        <is>
          <t>Concepto</t>
        </is>
      </c>
      <c r="B5" s="78" t="inlineStr">
        <is>
          <t>Neto</t>
        </is>
      </c>
      <c r="C5" s="78" t="inlineStr">
        <is>
          <t>Sociales</t>
        </is>
      </c>
      <c r="D5" s="78" t="inlineStr">
        <is>
          <t>c/Impuestos</t>
        </is>
      </c>
      <c r="E5" s="78" t="inlineStr">
        <is>
          <t>Prorrateado</t>
        </is>
      </c>
      <c r="F5" s="78" t="inlineStr">
        <is>
          <t>Licencias</t>
        </is>
      </c>
      <c r="G5" s="78" t="inlineStr">
        <is>
          <t>Productividad</t>
        </is>
      </c>
      <c r="H5" s="78" t="n"/>
      <c r="I5" s="78" t="inlineStr">
        <is>
          <t>Unitario Total</t>
        </is>
      </c>
      <c r="J5" s="217" t="n"/>
      <c r="K5" s="97" t="n">
        <v>1</v>
      </c>
      <c r="L5" s="97" t="n">
        <v>2</v>
      </c>
      <c r="M5" s="97" t="n">
        <v>3</v>
      </c>
      <c r="N5" s="97" t="n">
        <v>4</v>
      </c>
      <c r="O5" s="97" t="n">
        <v>5</v>
      </c>
      <c r="P5" s="97" t="n">
        <v>6</v>
      </c>
      <c r="Q5" s="97" t="n">
        <v>7</v>
      </c>
      <c r="R5" s="98" t="inlineStr">
        <is>
          <t>1-12</t>
        </is>
      </c>
      <c r="S5" s="98" t="inlineStr">
        <is>
          <t>1-12</t>
        </is>
      </c>
      <c r="T5" s="209" t="n"/>
      <c r="U5" s="94" t="n"/>
      <c r="V5" s="94" t="n"/>
      <c r="W5" s="94" t="n"/>
      <c r="X5" s="94" t="n"/>
      <c r="Y5" s="94" t="n"/>
      <c r="Z5" s="94" t="n"/>
      <c r="AA5" s="94" t="n"/>
      <c r="AB5" s="94" t="n"/>
      <c r="AC5" s="94" t="n"/>
      <c r="AD5" s="94" t="n"/>
      <c r="AE5" s="94" t="n"/>
      <c r="AF5" s="94" t="n"/>
      <c r="AG5" s="94" t="n"/>
      <c r="AH5" s="94" t="n"/>
      <c r="AI5" s="94" t="n"/>
      <c r="AJ5" s="94" t="n"/>
      <c r="AK5" s="94" t="n"/>
    </row>
    <row r="6" ht="12.75" customHeight="1" s="156">
      <c r="A6" s="80" t="inlineStr">
        <is>
          <t>Lider de Proyecto / Product Owner (fundador)</t>
        </is>
      </c>
      <c r="B6" s="118" t="n">
        <v>900000</v>
      </c>
      <c r="C6" s="81">
        <f>B6*$B$15</f>
        <v/>
      </c>
      <c r="D6" s="81">
        <f>B6+C6</f>
        <v/>
      </c>
      <c r="E6" s="81">
        <f>D6*$B$16</f>
        <v/>
      </c>
      <c r="F6" s="81">
        <f>D6*$B$17</f>
        <v/>
      </c>
      <c r="G6" s="81">
        <f>D6*$B$18</f>
        <v/>
      </c>
      <c r="H6" s="81">
        <f>D6*$B$19</f>
        <v/>
      </c>
      <c r="I6" s="218">
        <f>SUM(D6:H6)</f>
        <v/>
      </c>
      <c r="J6" s="119" t="n">
        <v>1</v>
      </c>
      <c r="K6" s="120">
        <f>J6</f>
        <v/>
      </c>
      <c r="L6" s="121">
        <f>K6</f>
        <v/>
      </c>
      <c r="M6" s="121">
        <f>L6</f>
        <v/>
      </c>
      <c r="N6" s="121">
        <f>M6</f>
        <v/>
      </c>
      <c r="O6" s="121">
        <f>N6</f>
        <v/>
      </c>
      <c r="P6" s="121">
        <f>O6</f>
        <v/>
      </c>
      <c r="Q6" s="121" t="n">
        <v>1</v>
      </c>
      <c r="R6" s="122" t="n">
        <v>12</v>
      </c>
      <c r="S6" s="122" t="n">
        <v>12</v>
      </c>
      <c r="T6" s="123">
        <f>SUM(J6:S6)</f>
        <v/>
      </c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</row>
    <row r="7" ht="12.75" customHeight="1" s="156">
      <c r="A7" s="80" t="inlineStr">
        <is>
          <t>Desarrollador (full-stack / IoT)</t>
        </is>
      </c>
      <c r="B7" s="118" t="n">
        <v>1000000</v>
      </c>
      <c r="C7" s="81">
        <f>B7*$B$15</f>
        <v/>
      </c>
      <c r="D7" s="81">
        <f>B7+C7</f>
        <v/>
      </c>
      <c r="E7" s="81">
        <f>D7*$B$16</f>
        <v/>
      </c>
      <c r="F7" s="81">
        <f>D7*$B$17</f>
        <v/>
      </c>
      <c r="G7" s="81">
        <f>D7*$B$18</f>
        <v/>
      </c>
      <c r="H7" s="81">
        <f>D7*$B$19</f>
        <v/>
      </c>
      <c r="I7" s="218">
        <f>SUM(D7:H7)</f>
        <v/>
      </c>
      <c r="J7" s="124" t="n">
        <v>1</v>
      </c>
      <c r="K7" s="125">
        <f>J7</f>
        <v/>
      </c>
      <c r="L7" s="125">
        <f>K7</f>
        <v/>
      </c>
      <c r="M7" s="125">
        <f>L7</f>
        <v/>
      </c>
      <c r="N7" s="125">
        <f>M7</f>
        <v/>
      </c>
      <c r="O7" s="125">
        <f>N7</f>
        <v/>
      </c>
      <c r="P7" s="125">
        <f>O7</f>
        <v/>
      </c>
      <c r="Q7" s="125">
        <f>P7</f>
        <v/>
      </c>
      <c r="R7" s="122" t="n">
        <v>12</v>
      </c>
      <c r="S7" s="122" t="n">
        <v>24</v>
      </c>
      <c r="T7" s="123">
        <f>SUM(J7:S7)</f>
        <v/>
      </c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</row>
    <row r="8" ht="12.75" customHeight="1" s="156">
      <c r="A8" s="80" t="inlineStr">
        <is>
          <t>Ingeniero de IA / ML (fundador)</t>
        </is>
      </c>
      <c r="B8" s="118" t="n">
        <v>1200000</v>
      </c>
      <c r="C8" s="81">
        <f>B8*$B$15</f>
        <v/>
      </c>
      <c r="D8" s="126">
        <f>B8+C8</f>
        <v/>
      </c>
      <c r="E8" s="81">
        <f>D8*$B$16</f>
        <v/>
      </c>
      <c r="F8" s="81">
        <f>D8*$B$17</f>
        <v/>
      </c>
      <c r="G8" s="81">
        <f>D8*$B$18</f>
        <v/>
      </c>
      <c r="H8" s="81">
        <f>D8*$B$19</f>
        <v/>
      </c>
      <c r="I8" s="127">
        <f>SUM(D8:H8)</f>
        <v/>
      </c>
      <c r="J8" s="124" t="n">
        <v>1</v>
      </c>
      <c r="K8" s="125">
        <f>J8</f>
        <v/>
      </c>
      <c r="L8" s="125">
        <f>K8</f>
        <v/>
      </c>
      <c r="M8" s="125">
        <f>L8</f>
        <v/>
      </c>
      <c r="N8" s="125">
        <f>M8</f>
        <v/>
      </c>
      <c r="O8" s="125">
        <f>N8</f>
        <v/>
      </c>
      <c r="P8" s="125">
        <f>O8</f>
        <v/>
      </c>
      <c r="Q8" s="125">
        <f>P8</f>
        <v/>
      </c>
      <c r="R8" s="122" t="n">
        <v>12</v>
      </c>
      <c r="S8" s="122" t="n">
        <v>12</v>
      </c>
      <c r="T8" s="123">
        <f>SUM(J8:S8)</f>
        <v/>
      </c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</row>
    <row r="9" ht="12.75" customHeight="1" s="156">
      <c r="A9" s="128" t="inlineStr">
        <is>
          <t>Tecnico de Soporte e Instalacion</t>
        </is>
      </c>
      <c r="B9" s="81" t="n">
        <v>900000</v>
      </c>
      <c r="C9" s="81">
        <f>B9*$B$15</f>
        <v/>
      </c>
      <c r="D9" s="126">
        <f>B9+C9</f>
        <v/>
      </c>
      <c r="E9" s="81">
        <f>D9*$B$16</f>
        <v/>
      </c>
      <c r="F9" s="81">
        <f>D9*$B$17</f>
        <v/>
      </c>
      <c r="G9" s="81">
        <f>D9*$B$18</f>
        <v/>
      </c>
      <c r="H9" s="81">
        <f>D9*$B$19</f>
        <v/>
      </c>
      <c r="I9" s="127">
        <f>SUM(D9:H9)</f>
        <v/>
      </c>
      <c r="J9" s="119" t="n">
        <v>0</v>
      </c>
      <c r="K9" s="121" t="n">
        <v>0</v>
      </c>
      <c r="L9" s="129" t="n">
        <v>0</v>
      </c>
      <c r="M9" s="129" t="n">
        <v>0</v>
      </c>
      <c r="N9" s="129" t="n">
        <v>0</v>
      </c>
      <c r="O9" s="129" t="n">
        <v>0</v>
      </c>
      <c r="P9" s="121" t="n">
        <v>0</v>
      </c>
      <c r="Q9" s="121" t="n">
        <v>1</v>
      </c>
      <c r="R9" s="122" t="n">
        <v>12</v>
      </c>
      <c r="S9" s="122" t="n">
        <v>24</v>
      </c>
      <c r="T9" s="123">
        <f>SUM(J9:S9)</f>
        <v/>
      </c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</row>
    <row r="10" ht="12.75" customHeight="1" s="156">
      <c r="A10" s="102" t="inlineStr">
        <is>
          <t>Responsable Comercial / Marketing</t>
        </is>
      </c>
      <c r="B10" s="81" t="n">
        <v>1000000</v>
      </c>
      <c r="C10" s="81">
        <f>B10*$B$15</f>
        <v/>
      </c>
      <c r="D10" s="126">
        <f>B10+C10</f>
        <v/>
      </c>
      <c r="E10" s="81">
        <f>D10*$B$16</f>
        <v/>
      </c>
      <c r="F10" s="81">
        <f>D10*$B$17</f>
        <v/>
      </c>
      <c r="G10" s="81">
        <f>D10*$B$18</f>
        <v/>
      </c>
      <c r="H10" s="81">
        <f>D10*$B$19</f>
        <v/>
      </c>
      <c r="I10" s="127">
        <f>SUM(D10:H10)</f>
        <v/>
      </c>
      <c r="J10" s="119" t="n">
        <v>0</v>
      </c>
      <c r="K10" s="121" t="n">
        <v>0</v>
      </c>
      <c r="L10" s="121" t="n">
        <v>0</v>
      </c>
      <c r="M10" s="121" t="n">
        <v>0</v>
      </c>
      <c r="N10" s="121" t="n">
        <v>0</v>
      </c>
      <c r="O10" s="121" t="n">
        <v>0</v>
      </c>
      <c r="P10" s="121" t="n">
        <v>0</v>
      </c>
      <c r="Q10" s="121" t="n">
        <v>0</v>
      </c>
      <c r="R10" s="122" t="n">
        <v>0</v>
      </c>
      <c r="S10" s="122" t="n">
        <v>12</v>
      </c>
      <c r="T10" s="123">
        <f>SUM(J10:S10)</f>
        <v/>
      </c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</row>
    <row r="11" ht="12.75" customHeight="1" s="156">
      <c r="A11" s="95" t="inlineStr">
        <is>
          <t>Total de Recursos Humanos</t>
        </is>
      </c>
      <c r="B11" s="130">
        <f>SUM(B6:B10)</f>
        <v/>
      </c>
      <c r="C11" s="130">
        <f>SUM(C6:C10)</f>
        <v/>
      </c>
      <c r="D11" s="130">
        <f>SUM(D6:D10)</f>
        <v/>
      </c>
      <c r="E11" s="130">
        <f>SUM(E6:E10)</f>
        <v/>
      </c>
      <c r="F11" s="130">
        <f>SUM(F6:F10)</f>
        <v/>
      </c>
      <c r="G11" s="130">
        <f>SUM(G6:G10)</f>
        <v/>
      </c>
      <c r="H11" s="130">
        <f>SUM(H6:H10)</f>
        <v/>
      </c>
      <c r="I11" s="130">
        <f>SUM(I6:I10)</f>
        <v/>
      </c>
      <c r="J11" s="219">
        <f>SUM(J6:J10)</f>
        <v/>
      </c>
      <c r="K11" s="78">
        <f>SUM(K6:K10)</f>
        <v/>
      </c>
      <c r="L11" s="78">
        <f>SUM(L6:L10)</f>
        <v/>
      </c>
      <c r="M11" s="78">
        <f>SUM(M6:M10)</f>
        <v/>
      </c>
      <c r="N11" s="78">
        <f>SUM(N6:N10)</f>
        <v/>
      </c>
      <c r="O11" s="78">
        <f>SUM(O6:O10)</f>
        <v/>
      </c>
      <c r="P11" s="78">
        <f>SUM(P6:P10)</f>
        <v/>
      </c>
      <c r="Q11" s="78">
        <f>SUM(Q6:Q10)</f>
        <v/>
      </c>
      <c r="R11" s="78">
        <f>SUM(R6:R10)</f>
        <v/>
      </c>
      <c r="S11" s="78">
        <f>SUM(S6:S10)</f>
        <v/>
      </c>
      <c r="T11" s="131">
        <f>SUM(T6:T10)</f>
        <v/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</row>
    <row r="12" ht="12.75" customHeight="1" s="156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</row>
    <row r="13" ht="12.75" customHeight="1" s="156">
      <c r="A13" s="15" t="inlineStr">
        <is>
          <t>Parametros de Cálculo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</row>
    <row r="14" ht="12.75" customHeight="1" s="156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</row>
    <row r="15" ht="12.75" customHeight="1" s="156">
      <c r="A15" s="132" t="inlineStr">
        <is>
          <t>Cargas Sociales</t>
        </is>
      </c>
      <c r="B15" s="133" t="n">
        <v>0.19</v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</row>
    <row r="16" ht="12.75" customHeight="1" s="156">
      <c r="A16" s="134" t="inlineStr">
        <is>
          <t>Aguinaldo</t>
        </is>
      </c>
      <c r="B16" s="135" t="n">
        <v>0.0833</v>
      </c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inlineStr">
        <is>
          <t> </t>
        </is>
      </c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</row>
    <row r="17" ht="12.75" customHeight="1" s="156">
      <c r="A17" s="134" t="inlineStr">
        <is>
          <t>Vacaciones y Licencias</t>
        </is>
      </c>
      <c r="B17" s="135" t="n">
        <v>0.0833</v>
      </c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inlineStr">
        <is>
          <t> </t>
        </is>
      </c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</row>
    <row r="18" ht="12.75" customHeight="1" s="156">
      <c r="A18" s="136" t="inlineStr">
        <is>
          <t>Merma de Productividad</t>
        </is>
      </c>
      <c r="B18" s="135" t="n">
        <v>0.1</v>
      </c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inlineStr">
        <is>
          <t> </t>
        </is>
      </c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</row>
    <row r="19" ht="12.75" customHeight="1" s="156">
      <c r="A19" s="137" t="inlineStr">
        <is>
          <t>Ausentismo</t>
        </is>
      </c>
      <c r="B19" s="138" t="n">
        <v>0.0417</v>
      </c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inlineStr">
        <is>
          <t> </t>
        </is>
      </c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</row>
    <row r="20" ht="12.75" customHeight="1" s="156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inlineStr">
        <is>
          <t> </t>
        </is>
      </c>
      <c r="X20" s="18" t="inlineStr">
        <is>
          <t> </t>
        </is>
      </c>
      <c r="Y20" s="18" t="inlineStr">
        <is>
          <t> </t>
        </is>
      </c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</row>
    <row r="21" ht="12.75" customHeight="1" s="156">
      <c r="A21" s="56" t="inlineStr">
        <is>
          <t>Costos Laborales</t>
        </is>
      </c>
      <c r="B21" s="18" t="inlineStr">
        <is>
          <t>Se aplica un 20% de aumento en el costo laboral del segundo y tercer año.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</row>
    <row r="22" ht="12.75" customHeight="1" s="156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</row>
    <row r="23" ht="12.75" customHeight="1" s="156">
      <c r="A23" s="220" t="inlineStr">
        <is>
          <t>Período</t>
        </is>
      </c>
      <c r="B23" s="139" t="inlineStr">
        <is>
          <t>Costo</t>
        </is>
      </c>
      <c r="C23" s="139" t="inlineStr">
        <is>
          <t>Star-up</t>
        </is>
      </c>
      <c r="D23" s="139" t="inlineStr">
        <is>
          <t>Año 0</t>
        </is>
      </c>
      <c r="E23" s="276" t="n"/>
      <c r="F23" s="276" t="n"/>
      <c r="G23" s="276" t="n"/>
      <c r="H23" s="276" t="n"/>
      <c r="I23" s="276" t="n"/>
      <c r="J23" s="282" t="n"/>
      <c r="K23" s="221" t="inlineStr">
        <is>
          <t>Año 1</t>
        </is>
      </c>
      <c r="L23" s="221" t="inlineStr">
        <is>
          <t>Año 2</t>
        </is>
      </c>
      <c r="M23" s="139" t="inlineStr">
        <is>
          <t>Total</t>
        </is>
      </c>
      <c r="N23" s="18" t="n"/>
      <c r="O23" s="18" t="n"/>
      <c r="P23" s="18" t="n"/>
      <c r="Q23" s="18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</row>
    <row r="24" ht="12.75" customHeight="1" s="156">
      <c r="A24" s="222" t="inlineStr">
        <is>
          <t>Concepto</t>
        </is>
      </c>
      <c r="B24" s="223" t="inlineStr">
        <is>
          <t>Laboral</t>
        </is>
      </c>
      <c r="C24" s="140" t="n"/>
      <c r="D24" s="140" t="n">
        <v>1</v>
      </c>
      <c r="E24" s="97" t="n">
        <v>2</v>
      </c>
      <c r="F24" s="97" t="n">
        <v>3</v>
      </c>
      <c r="G24" s="97" t="n">
        <v>4</v>
      </c>
      <c r="H24" s="97" t="n">
        <v>5</v>
      </c>
      <c r="I24" s="97" t="n">
        <v>6</v>
      </c>
      <c r="J24" s="97" t="n">
        <v>7</v>
      </c>
      <c r="K24" s="98" t="inlineStr">
        <is>
          <t>1-12</t>
        </is>
      </c>
      <c r="L24" s="98" t="inlineStr">
        <is>
          <t>1-12</t>
        </is>
      </c>
      <c r="M24" s="213" t="inlineStr">
        <is>
          <t>Uso</t>
        </is>
      </c>
      <c r="N24" s="18" t="n"/>
      <c r="O24" s="18" t="n"/>
      <c r="P24" s="18" t="n"/>
      <c r="Q24" s="18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</row>
    <row r="25" ht="12.75" customHeight="1" s="156">
      <c r="A25" s="80" t="inlineStr">
        <is>
          <t>Product Owner</t>
        </is>
      </c>
      <c r="B25" s="141">
        <f>I6</f>
        <v/>
      </c>
      <c r="C25" s="142">
        <f>$B$25*J6</f>
        <v/>
      </c>
      <c r="D25" s="142">
        <f>$B$25*K6</f>
        <v/>
      </c>
      <c r="E25" s="142">
        <f>$B$25*L6</f>
        <v/>
      </c>
      <c r="F25" s="142">
        <f>$B$25*M6</f>
        <v/>
      </c>
      <c r="G25" s="142">
        <f>$B$25*N6</f>
        <v/>
      </c>
      <c r="H25" s="142">
        <f>$B$25*O6</f>
        <v/>
      </c>
      <c r="I25" s="142">
        <f>$B$25*P6</f>
        <v/>
      </c>
      <c r="J25" s="142">
        <f>$B$25*Q6</f>
        <v/>
      </c>
      <c r="K25" s="141">
        <f>B25*1.2*R6</f>
        <v/>
      </c>
      <c r="L25" s="141">
        <f>B25*1.2*1.2*S6</f>
        <v/>
      </c>
      <c r="M25" s="143">
        <f>SUM(D25:L25)</f>
        <v/>
      </c>
      <c r="N25" s="18" t="n"/>
      <c r="O25" s="18" t="n"/>
      <c r="P25" s="18" t="n"/>
      <c r="Q25" s="18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</row>
    <row r="26" ht="12.75" customHeight="1" s="156">
      <c r="A26" s="155" t="inlineStr">
        <is>
          <t>Desarrollador</t>
        </is>
      </c>
      <c r="B26" s="141">
        <f>I7</f>
        <v/>
      </c>
      <c r="C26" s="141">
        <f>$B$26*J7</f>
        <v/>
      </c>
      <c r="D26" s="141">
        <f>$B$26*K7</f>
        <v/>
      </c>
      <c r="E26" s="141">
        <f>$B$26*L7</f>
        <v/>
      </c>
      <c r="F26" s="141">
        <f>$B$26*M7</f>
        <v/>
      </c>
      <c r="G26" s="141">
        <f>$B$26*N7</f>
        <v/>
      </c>
      <c r="H26" s="141">
        <f>$B$26*O7</f>
        <v/>
      </c>
      <c r="I26" s="141">
        <f>$B$26*P7</f>
        <v/>
      </c>
      <c r="J26" s="141">
        <f>$B$26*Q7</f>
        <v/>
      </c>
      <c r="K26" s="141">
        <f>B26*1.2*R7</f>
        <v/>
      </c>
      <c r="L26" s="141">
        <f>B26*1.2*1.2*S7</f>
        <v/>
      </c>
      <c r="M26" s="143">
        <f>SUM(D26:L26)</f>
        <v/>
      </c>
      <c r="N26" s="18" t="n"/>
      <c r="O26" s="18" t="n"/>
      <c r="P26" s="18" t="n"/>
      <c r="Q26" s="18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</row>
    <row r="27" ht="12.75" customHeight="1" s="156">
      <c r="A27" s="80" t="inlineStr">
        <is>
          <t>Scrum Master</t>
        </is>
      </c>
      <c r="B27" s="141">
        <f>I8</f>
        <v/>
      </c>
      <c r="C27" s="141">
        <f>$B$27*J8</f>
        <v/>
      </c>
      <c r="D27" s="141">
        <f>$B$27*K8</f>
        <v/>
      </c>
      <c r="E27" s="141">
        <f>$B$27*L8</f>
        <v/>
      </c>
      <c r="F27" s="141">
        <f>$B$27*M8</f>
        <v/>
      </c>
      <c r="G27" s="141">
        <f>$B$27*N8</f>
        <v/>
      </c>
      <c r="H27" s="141">
        <f>$B$27*O8</f>
        <v/>
      </c>
      <c r="I27" s="141">
        <f>$B$27*P8</f>
        <v/>
      </c>
      <c r="J27" s="141">
        <f>$B$27*Q8</f>
        <v/>
      </c>
      <c r="K27" s="141">
        <f>B27*1.2*R8</f>
        <v/>
      </c>
      <c r="L27" s="141">
        <f>B27*1.2*1.2*S8</f>
        <v/>
      </c>
      <c r="M27" s="143">
        <f>SUM(D27:L27)</f>
        <v/>
      </c>
      <c r="N27" s="18" t="n"/>
      <c r="O27" s="18" t="n"/>
      <c r="P27" s="18" t="n"/>
      <c r="Q27" s="18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</row>
    <row r="28" ht="12.75" customHeight="1" s="156">
      <c r="A28" s="128" t="inlineStr">
        <is>
          <t>Técnico de soporte</t>
        </is>
      </c>
      <c r="B28" s="141">
        <f>I9</f>
        <v/>
      </c>
      <c r="C28" s="141">
        <f>$B$28*J9</f>
        <v/>
      </c>
      <c r="D28" s="141">
        <f>$B$28*K9</f>
        <v/>
      </c>
      <c r="E28" s="141">
        <f>$B$28*L9</f>
        <v/>
      </c>
      <c r="F28" s="141">
        <f>$B$28*M9</f>
        <v/>
      </c>
      <c r="G28" s="141">
        <f>$B$28*N9</f>
        <v/>
      </c>
      <c r="H28" s="141">
        <f>$B$28*O9</f>
        <v/>
      </c>
      <c r="I28" s="141">
        <f>$B$28*P9</f>
        <v/>
      </c>
      <c r="J28" s="141">
        <f>$B$28*Q9</f>
        <v/>
      </c>
      <c r="K28" s="141">
        <f>B28*1.2*R9</f>
        <v/>
      </c>
      <c r="L28" s="141">
        <f>B28*1.2*1.2*S9</f>
        <v/>
      </c>
      <c r="M28" s="143">
        <f>SUM(D28:L28)</f>
        <v/>
      </c>
      <c r="N28" s="18" t="n"/>
      <c r="O28" s="18" t="n"/>
      <c r="P28" s="18" t="n"/>
      <c r="Q28" s="18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</row>
    <row r="29" ht="12.75" customHeight="1" s="156">
      <c r="A29" s="102" t="inlineStr">
        <is>
          <t>Gerente de Marketing</t>
        </is>
      </c>
      <c r="B29" s="141">
        <f>I10</f>
        <v/>
      </c>
      <c r="C29" s="141">
        <f>$B$29*J10</f>
        <v/>
      </c>
      <c r="D29" s="141">
        <f>$B$29*K10</f>
        <v/>
      </c>
      <c r="E29" s="141">
        <f>$B$29*L10</f>
        <v/>
      </c>
      <c r="F29" s="141">
        <f>$B$29*M10</f>
        <v/>
      </c>
      <c r="G29" s="141">
        <f>$B$29*N10</f>
        <v/>
      </c>
      <c r="H29" s="141">
        <f>$B$29*O10</f>
        <v/>
      </c>
      <c r="I29" s="141">
        <f>$B$29*P10</f>
        <v/>
      </c>
      <c r="J29" s="141">
        <f>$B$29*Q10</f>
        <v/>
      </c>
      <c r="K29" s="141">
        <f>B29*1.2*R10</f>
        <v/>
      </c>
      <c r="L29" s="141">
        <f>B29*1.2*1.2*S10</f>
        <v/>
      </c>
      <c r="M29" s="143">
        <f>SUM(D29:L29)</f>
        <v/>
      </c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</row>
    <row r="30" ht="12.75" customHeight="1" s="156">
      <c r="A30" s="222" t="inlineStr">
        <is>
          <t>Totales Costo Laboral</t>
        </is>
      </c>
      <c r="B30" s="144">
        <f>SUM(B25:B29)</f>
        <v/>
      </c>
      <c r="C30" s="144">
        <f>SUM(C24:C29)</f>
        <v/>
      </c>
      <c r="D30" s="144">
        <f>SUM(D25:D29)</f>
        <v/>
      </c>
      <c r="E30" s="144">
        <f>SUM(E25:E29)</f>
        <v/>
      </c>
      <c r="F30" s="144">
        <f>SUM(F25:F29)</f>
        <v/>
      </c>
      <c r="G30" s="144">
        <f>SUM(G25:G29)</f>
        <v/>
      </c>
      <c r="H30" s="144">
        <f>SUM(H25:H29)</f>
        <v/>
      </c>
      <c r="I30" s="144">
        <f>SUM(I25:I29)</f>
        <v/>
      </c>
      <c r="J30" s="144">
        <f>SUM(J25:J29)</f>
        <v/>
      </c>
      <c r="K30" s="144">
        <f>SUM(K25:K29)</f>
        <v/>
      </c>
      <c r="L30" s="144">
        <f>SUM(L25:L29)</f>
        <v/>
      </c>
      <c r="M30" s="145">
        <f>SUM(C30:L30)</f>
        <v/>
      </c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</row>
    <row r="31" ht="12.75" customHeight="1" s="156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</row>
    <row r="32" ht="12.75" customHeight="1" s="156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</row>
    <row r="33" ht="12.75" customHeight="1" s="156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</row>
    <row r="34" ht="12.75" customHeight="1" s="156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</row>
    <row r="35" ht="12.75" customHeight="1" s="156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</row>
    <row r="36" ht="12.75" customHeight="1" s="15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</row>
    <row r="37" ht="12.75" customHeight="1" s="156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</row>
    <row r="38" ht="12.75" customHeight="1" s="156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</row>
    <row r="39" ht="12.75" customHeight="1" s="156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</row>
    <row r="40" ht="12.75" customHeight="1" s="156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</row>
    <row r="41" ht="12.75" customHeight="1" s="156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</row>
    <row r="42" ht="12.75" customHeight="1" s="156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</row>
    <row r="43" ht="12.75" customHeight="1" s="156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</row>
    <row r="44" ht="12.75" customHeight="1" s="156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</row>
    <row r="45" ht="12.75" customHeight="1" s="156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</row>
    <row r="46" ht="12.75" customHeight="1" s="15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</row>
    <row r="47" ht="12.75" customHeight="1" s="156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</row>
    <row r="48" ht="12.75" customHeight="1" s="156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</row>
    <row r="49" ht="12.75" customHeight="1" s="156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</row>
    <row r="50" ht="12.75" customHeight="1" s="156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</row>
    <row r="51" ht="12.75" customHeight="1" s="156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</row>
    <row r="52" ht="12.75" customHeight="1" s="156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</row>
    <row r="53" ht="12.75" customHeight="1" s="156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</row>
    <row r="54" ht="12.75" customHeight="1" s="156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</row>
    <row r="55" ht="12.75" customHeight="1" s="156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</row>
    <row r="56" ht="12.75" customHeight="1" s="1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</row>
    <row r="57" ht="12.75" customHeight="1" s="156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</row>
    <row r="58" ht="12.75" customHeight="1" s="156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</row>
    <row r="59" ht="12.75" customHeight="1" s="156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</row>
    <row r="60" ht="12.75" customHeight="1" s="156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</row>
    <row r="61" ht="12.75" customHeight="1" s="156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</row>
    <row r="62" ht="12.75" customHeight="1" s="156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</row>
    <row r="63" ht="12.75" customHeight="1" s="156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</row>
    <row r="64" ht="12.75" customHeight="1" s="156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</row>
    <row r="65" ht="12.75" customHeight="1" s="156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</row>
    <row r="66" ht="12.75" customHeight="1" s="15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</row>
    <row r="67" ht="12.75" customHeight="1" s="156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</row>
    <row r="68" ht="12.75" customHeight="1" s="156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</row>
    <row r="69" ht="12.75" customHeight="1" s="156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</row>
    <row r="70" ht="12.75" customHeight="1" s="156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</row>
    <row r="71" ht="12.75" customHeight="1" s="156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</row>
    <row r="72" ht="12.75" customHeight="1" s="156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</row>
    <row r="73" ht="12.75" customHeight="1" s="156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</row>
    <row r="74" ht="12.75" customHeight="1" s="156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</row>
    <row r="75" ht="12.75" customHeight="1" s="156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</row>
    <row r="76" ht="12.75" customHeight="1" s="15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</row>
    <row r="77" ht="12.75" customHeight="1" s="156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</row>
    <row r="78" ht="12.75" customHeight="1" s="156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n"/>
      <c r="AL78" s="18" t="n"/>
    </row>
    <row r="79" ht="12.75" customHeight="1" s="156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</row>
    <row r="80" ht="12.75" customHeight="1" s="156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</row>
    <row r="81" ht="12.75" customHeight="1" s="156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</row>
    <row r="82" ht="12.75" customHeight="1" s="156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</row>
    <row r="83" ht="12.75" customHeight="1" s="156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</row>
    <row r="84" ht="12.75" customHeight="1" s="156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</row>
    <row r="85" ht="12.75" customHeight="1" s="156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  <c r="AE85" s="18" t="n"/>
      <c r="AF85" s="18" t="n"/>
      <c r="AG85" s="18" t="n"/>
      <c r="AH85" s="18" t="n"/>
      <c r="AI85" s="18" t="n"/>
      <c r="AJ85" s="18" t="n"/>
      <c r="AK85" s="18" t="n"/>
      <c r="AL85" s="18" t="n"/>
    </row>
    <row r="86" ht="12.75" customHeight="1" s="15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  <c r="AE86" s="18" t="n"/>
      <c r="AF86" s="18" t="n"/>
      <c r="AG86" s="18" t="n"/>
      <c r="AH86" s="18" t="n"/>
      <c r="AI86" s="18" t="n"/>
      <c r="AJ86" s="18" t="n"/>
      <c r="AK86" s="18" t="n"/>
      <c r="AL86" s="18" t="n"/>
    </row>
    <row r="87" ht="12.75" customHeight="1" s="156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  <c r="AE87" s="18" t="n"/>
      <c r="AF87" s="18" t="n"/>
      <c r="AG87" s="18" t="n"/>
      <c r="AH87" s="18" t="n"/>
      <c r="AI87" s="18" t="n"/>
      <c r="AJ87" s="18" t="n"/>
      <c r="AK87" s="18" t="n"/>
      <c r="AL87" s="18" t="n"/>
    </row>
    <row r="88" ht="12.75" customHeight="1" s="156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n"/>
      <c r="AB88" s="18" t="n"/>
      <c r="AC88" s="18" t="n"/>
      <c r="AD88" s="18" t="n"/>
      <c r="AE88" s="18" t="n"/>
      <c r="AF88" s="18" t="n"/>
      <c r="AG88" s="18" t="n"/>
      <c r="AH88" s="18" t="n"/>
      <c r="AI88" s="18" t="n"/>
      <c r="AJ88" s="18" t="n"/>
      <c r="AK88" s="18" t="n"/>
      <c r="AL88" s="18" t="n"/>
    </row>
    <row r="89" ht="12.75" customHeight="1" s="156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8" t="n"/>
    </row>
    <row r="90" ht="12.75" customHeight="1" s="156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  <c r="AA90" s="18" t="n"/>
      <c r="AB90" s="18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8" t="n"/>
    </row>
    <row r="91" ht="12.75" customHeight="1" s="156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  <c r="AA91" s="18" t="n"/>
      <c r="AB91" s="18" t="n"/>
      <c r="AC91" s="18" t="n"/>
      <c r="AD91" s="18" t="n"/>
      <c r="AE91" s="18" t="n"/>
      <c r="AF91" s="18" t="n"/>
      <c r="AG91" s="18" t="n"/>
      <c r="AH91" s="18" t="n"/>
      <c r="AI91" s="18" t="n"/>
      <c r="AJ91" s="18" t="n"/>
      <c r="AK91" s="18" t="n"/>
      <c r="AL91" s="18" t="n"/>
    </row>
    <row r="92" ht="12.75" customHeight="1" s="156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  <c r="AC92" s="18" t="n"/>
      <c r="AD92" s="18" t="n"/>
      <c r="AE92" s="18" t="n"/>
      <c r="AF92" s="18" t="n"/>
      <c r="AG92" s="18" t="n"/>
      <c r="AH92" s="18" t="n"/>
      <c r="AI92" s="18" t="n"/>
      <c r="AJ92" s="18" t="n"/>
      <c r="AK92" s="18" t="n"/>
      <c r="AL92" s="18" t="n"/>
    </row>
    <row r="93" ht="12.75" customHeight="1" s="156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  <c r="AA93" s="18" t="n"/>
      <c r="AB93" s="18" t="n"/>
      <c r="AC93" s="18" t="n"/>
      <c r="AD93" s="18" t="n"/>
      <c r="AE93" s="18" t="n"/>
      <c r="AF93" s="18" t="n"/>
      <c r="AG93" s="18" t="n"/>
      <c r="AH93" s="18" t="n"/>
      <c r="AI93" s="18" t="n"/>
      <c r="AJ93" s="18" t="n"/>
      <c r="AK93" s="18" t="n"/>
      <c r="AL93" s="18" t="n"/>
    </row>
    <row r="94" ht="12.75" customHeight="1" s="156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  <c r="AA94" s="18" t="n"/>
      <c r="AB94" s="18" t="n"/>
      <c r="AC94" s="18" t="n"/>
      <c r="AD94" s="18" t="n"/>
      <c r="AE94" s="18" t="n"/>
      <c r="AF94" s="18" t="n"/>
      <c r="AG94" s="18" t="n"/>
      <c r="AH94" s="18" t="n"/>
      <c r="AI94" s="18" t="n"/>
      <c r="AJ94" s="18" t="n"/>
      <c r="AK94" s="18" t="n"/>
      <c r="AL94" s="18" t="n"/>
    </row>
    <row r="95" ht="12.75" customHeight="1" s="156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  <c r="AC95" s="18" t="n"/>
      <c r="AD95" s="18" t="n"/>
      <c r="AE95" s="18" t="n"/>
      <c r="AF95" s="18" t="n"/>
      <c r="AG95" s="18" t="n"/>
      <c r="AH95" s="18" t="n"/>
      <c r="AI95" s="18" t="n"/>
      <c r="AJ95" s="18" t="n"/>
      <c r="AK95" s="18" t="n"/>
      <c r="AL95" s="18" t="n"/>
    </row>
    <row r="96" ht="12.75" customHeight="1" s="15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8" t="n"/>
    </row>
    <row r="97" ht="12.75" customHeight="1" s="156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8" t="n"/>
    </row>
    <row r="98" ht="12.75" customHeight="1" s="156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  <c r="AC98" s="18" t="n"/>
      <c r="AD98" s="18" t="n"/>
      <c r="AE98" s="18" t="n"/>
      <c r="AF98" s="18" t="n"/>
      <c r="AG98" s="18" t="n"/>
      <c r="AH98" s="18" t="n"/>
      <c r="AI98" s="18" t="n"/>
      <c r="AJ98" s="18" t="n"/>
      <c r="AK98" s="18" t="n"/>
      <c r="AL98" s="18" t="n"/>
    </row>
    <row r="99" ht="12.75" customHeight="1" s="156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  <c r="AC99" s="18" t="n"/>
      <c r="AD99" s="18" t="n"/>
      <c r="AE99" s="18" t="n"/>
      <c r="AF99" s="18" t="n"/>
      <c r="AG99" s="18" t="n"/>
      <c r="AH99" s="18" t="n"/>
      <c r="AI99" s="18" t="n"/>
      <c r="AJ99" s="18" t="n"/>
      <c r="AK99" s="18" t="n"/>
      <c r="AL99" s="18" t="n"/>
    </row>
    <row r="100" ht="12.75" customHeight="1" s="156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</row>
    <row r="101" ht="12.75" customHeight="1" s="156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  <c r="AC101" s="18" t="n"/>
      <c r="AD101" s="18" t="n"/>
      <c r="AE101" s="18" t="n"/>
      <c r="AF101" s="18" t="n"/>
      <c r="AG101" s="18" t="n"/>
      <c r="AH101" s="18" t="n"/>
      <c r="AI101" s="18" t="n"/>
      <c r="AJ101" s="18" t="n"/>
      <c r="AK101" s="18" t="n"/>
      <c r="AL101" s="18" t="n"/>
    </row>
    <row r="102" ht="12.75" customHeight="1" s="156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18" t="n"/>
      <c r="AK102" s="18" t="n"/>
      <c r="AL102" s="18" t="n"/>
    </row>
    <row r="103" ht="12.75" customHeight="1" s="156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  <c r="AA103" s="18" t="n"/>
      <c r="AB103" s="18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8" t="n"/>
    </row>
    <row r="104" ht="12.75" customHeight="1" s="156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8" t="n"/>
    </row>
    <row r="105" ht="12.75" customHeight="1" s="156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  <c r="AC105" s="18" t="n"/>
      <c r="AD105" s="18" t="n"/>
      <c r="AE105" s="18" t="n"/>
      <c r="AF105" s="18" t="n"/>
      <c r="AG105" s="18" t="n"/>
      <c r="AH105" s="18" t="n"/>
      <c r="AI105" s="18" t="n"/>
      <c r="AJ105" s="18" t="n"/>
      <c r="AK105" s="18" t="n"/>
      <c r="AL105" s="18" t="n"/>
    </row>
    <row r="106" ht="12.75" customHeight="1" s="15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  <c r="AD106" s="18" t="n"/>
      <c r="AE106" s="18" t="n"/>
      <c r="AF106" s="18" t="n"/>
      <c r="AG106" s="18" t="n"/>
      <c r="AH106" s="18" t="n"/>
      <c r="AI106" s="18" t="n"/>
      <c r="AJ106" s="18" t="n"/>
      <c r="AK106" s="18" t="n"/>
      <c r="AL106" s="18" t="n"/>
    </row>
    <row r="107" ht="12.75" customHeight="1" s="156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  <c r="AC107" s="18" t="n"/>
      <c r="AD107" s="18" t="n"/>
      <c r="AE107" s="18" t="n"/>
      <c r="AF107" s="18" t="n"/>
      <c r="AG107" s="18" t="n"/>
      <c r="AH107" s="18" t="n"/>
      <c r="AI107" s="18" t="n"/>
      <c r="AJ107" s="18" t="n"/>
      <c r="AK107" s="18" t="n"/>
      <c r="AL107" s="18" t="n"/>
    </row>
    <row r="108" ht="12.75" customHeight="1" s="156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  <c r="AD108" s="18" t="n"/>
      <c r="AE108" s="18" t="n"/>
      <c r="AF108" s="18" t="n"/>
      <c r="AG108" s="18" t="n"/>
      <c r="AH108" s="18" t="n"/>
      <c r="AI108" s="18" t="n"/>
      <c r="AJ108" s="18" t="n"/>
      <c r="AK108" s="18" t="n"/>
      <c r="AL108" s="18" t="n"/>
    </row>
    <row r="109" ht="12.75" customHeight="1" s="156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  <c r="AA109" s="18" t="n"/>
      <c r="AB109" s="18" t="n"/>
      <c r="AC109" s="18" t="n"/>
      <c r="AD109" s="18" t="n"/>
      <c r="AE109" s="18" t="n"/>
      <c r="AF109" s="18" t="n"/>
      <c r="AG109" s="18" t="n"/>
      <c r="AH109" s="18" t="n"/>
      <c r="AI109" s="18" t="n"/>
      <c r="AJ109" s="18" t="n"/>
      <c r="AK109" s="18" t="n"/>
      <c r="AL109" s="18" t="n"/>
    </row>
    <row r="110" ht="12.75" customHeight="1" s="156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8" t="n"/>
    </row>
    <row r="111" ht="12.75" customHeight="1" s="156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8" t="n"/>
    </row>
    <row r="112" ht="12.75" customHeight="1" s="156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  <c r="AJ112" s="18" t="n"/>
      <c r="AK112" s="18" t="n"/>
      <c r="AL112" s="18" t="n"/>
    </row>
    <row r="113" ht="12.75" customHeight="1" s="156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  <c r="AD113" s="18" t="n"/>
      <c r="AE113" s="18" t="n"/>
      <c r="AF113" s="18" t="n"/>
      <c r="AG113" s="18" t="n"/>
      <c r="AH113" s="18" t="n"/>
      <c r="AI113" s="18" t="n"/>
      <c r="AJ113" s="18" t="n"/>
      <c r="AK113" s="18" t="n"/>
      <c r="AL113" s="18" t="n"/>
    </row>
    <row r="114" ht="12.75" customHeight="1" s="156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  <c r="AC114" s="18" t="n"/>
      <c r="AD114" s="18" t="n"/>
      <c r="AE114" s="18" t="n"/>
      <c r="AF114" s="18" t="n"/>
      <c r="AG114" s="18" t="n"/>
      <c r="AH114" s="18" t="n"/>
      <c r="AI114" s="18" t="n"/>
      <c r="AJ114" s="18" t="n"/>
      <c r="AK114" s="18" t="n"/>
      <c r="AL114" s="18" t="n"/>
    </row>
    <row r="115" ht="12.75" customHeight="1" s="156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18" t="n"/>
      <c r="AD115" s="18" t="n"/>
      <c r="AE115" s="18" t="n"/>
      <c r="AF115" s="18" t="n"/>
      <c r="AG115" s="18" t="n"/>
      <c r="AH115" s="18" t="n"/>
      <c r="AI115" s="18" t="n"/>
      <c r="AJ115" s="18" t="n"/>
      <c r="AK115" s="18" t="n"/>
      <c r="AL115" s="18" t="n"/>
    </row>
    <row r="116" ht="12.75" customHeight="1" s="15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  <c r="AC116" s="18" t="n"/>
      <c r="AD116" s="18" t="n"/>
      <c r="AE116" s="18" t="n"/>
      <c r="AF116" s="18" t="n"/>
      <c r="AG116" s="18" t="n"/>
      <c r="AH116" s="18" t="n"/>
      <c r="AI116" s="18" t="n"/>
      <c r="AJ116" s="18" t="n"/>
      <c r="AK116" s="18" t="n"/>
      <c r="AL116" s="18" t="n"/>
    </row>
    <row r="117" ht="12.75" customHeight="1" s="156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n"/>
      <c r="AL117" s="18" t="n"/>
    </row>
    <row r="118" ht="12.75" customHeight="1" s="156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</row>
    <row r="119" ht="12.75" customHeight="1" s="156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  <c r="AD119" s="18" t="n"/>
      <c r="AE119" s="18" t="n"/>
      <c r="AF119" s="18" t="n"/>
      <c r="AG119" s="18" t="n"/>
      <c r="AH119" s="18" t="n"/>
      <c r="AI119" s="18" t="n"/>
      <c r="AJ119" s="18" t="n"/>
      <c r="AK119" s="18" t="n"/>
      <c r="AL119" s="18" t="n"/>
    </row>
    <row r="120" ht="12.75" customHeight="1" s="156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  <c r="AC120" s="18" t="n"/>
      <c r="AD120" s="18" t="n"/>
      <c r="AE120" s="18" t="n"/>
      <c r="AF120" s="18" t="n"/>
      <c r="AG120" s="18" t="n"/>
      <c r="AH120" s="18" t="n"/>
      <c r="AI120" s="18" t="n"/>
      <c r="AJ120" s="18" t="n"/>
      <c r="AK120" s="18" t="n"/>
      <c r="AL120" s="18" t="n"/>
    </row>
    <row r="121" ht="12.75" customHeight="1" s="156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  <c r="AC121" s="18" t="n"/>
      <c r="AD121" s="18" t="n"/>
      <c r="AE121" s="18" t="n"/>
      <c r="AF121" s="18" t="n"/>
      <c r="AG121" s="18" t="n"/>
      <c r="AH121" s="18" t="n"/>
      <c r="AI121" s="18" t="n"/>
      <c r="AJ121" s="18" t="n"/>
      <c r="AK121" s="18" t="n"/>
      <c r="AL121" s="18" t="n"/>
    </row>
    <row r="122" ht="12.75" customHeight="1" s="156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  <c r="AC122" s="18" t="n"/>
      <c r="AD122" s="18" t="n"/>
      <c r="AE122" s="18" t="n"/>
      <c r="AF122" s="18" t="n"/>
      <c r="AG122" s="18" t="n"/>
      <c r="AH122" s="18" t="n"/>
      <c r="AI122" s="18" t="n"/>
      <c r="AJ122" s="18" t="n"/>
      <c r="AK122" s="18" t="n"/>
      <c r="AL122" s="18" t="n"/>
    </row>
    <row r="123" ht="12.75" customHeight="1" s="156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  <c r="AD123" s="18" t="n"/>
      <c r="AE123" s="18" t="n"/>
      <c r="AF123" s="18" t="n"/>
      <c r="AG123" s="18" t="n"/>
      <c r="AH123" s="18" t="n"/>
      <c r="AI123" s="18" t="n"/>
      <c r="AJ123" s="18" t="n"/>
      <c r="AK123" s="18" t="n"/>
      <c r="AL123" s="18" t="n"/>
    </row>
    <row r="124" ht="12.75" customHeight="1" s="156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  <c r="AC124" s="18" t="n"/>
      <c r="AD124" s="18" t="n"/>
      <c r="AE124" s="18" t="n"/>
      <c r="AF124" s="18" t="n"/>
      <c r="AG124" s="18" t="n"/>
      <c r="AH124" s="18" t="n"/>
      <c r="AI124" s="18" t="n"/>
      <c r="AJ124" s="18" t="n"/>
      <c r="AK124" s="18" t="n"/>
      <c r="AL124" s="18" t="n"/>
    </row>
    <row r="125" ht="12.75" customHeight="1" s="156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  <c r="AC125" s="18" t="n"/>
      <c r="AD125" s="18" t="n"/>
      <c r="AE125" s="18" t="n"/>
      <c r="AF125" s="18" t="n"/>
      <c r="AG125" s="18" t="n"/>
      <c r="AH125" s="18" t="n"/>
      <c r="AI125" s="18" t="n"/>
      <c r="AJ125" s="18" t="n"/>
      <c r="AK125" s="18" t="n"/>
      <c r="AL125" s="18" t="n"/>
    </row>
    <row r="126" ht="12.75" customHeight="1" s="15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  <c r="AD126" s="18" t="n"/>
      <c r="AE126" s="18" t="n"/>
      <c r="AF126" s="18" t="n"/>
      <c r="AG126" s="18" t="n"/>
      <c r="AH126" s="18" t="n"/>
      <c r="AI126" s="18" t="n"/>
      <c r="AJ126" s="18" t="n"/>
      <c r="AK126" s="18" t="n"/>
      <c r="AL126" s="18" t="n"/>
    </row>
    <row r="127" ht="12.75" customHeight="1" s="156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  <c r="AD127" s="18" t="n"/>
      <c r="AE127" s="18" t="n"/>
      <c r="AF127" s="18" t="n"/>
      <c r="AG127" s="18" t="n"/>
      <c r="AH127" s="18" t="n"/>
      <c r="AI127" s="18" t="n"/>
      <c r="AJ127" s="18" t="n"/>
      <c r="AK127" s="18" t="n"/>
      <c r="AL127" s="18" t="n"/>
    </row>
    <row r="128" ht="12.75" customHeight="1" s="156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  <c r="AC128" s="18" t="n"/>
      <c r="AD128" s="18" t="n"/>
      <c r="AE128" s="18" t="n"/>
      <c r="AF128" s="18" t="n"/>
      <c r="AG128" s="18" t="n"/>
      <c r="AH128" s="18" t="n"/>
      <c r="AI128" s="18" t="n"/>
      <c r="AJ128" s="18" t="n"/>
      <c r="AK128" s="18" t="n"/>
      <c r="AL128" s="18" t="n"/>
    </row>
    <row r="129" ht="12.75" customHeight="1" s="156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  <c r="AD129" s="18" t="n"/>
      <c r="AE129" s="18" t="n"/>
      <c r="AF129" s="18" t="n"/>
      <c r="AG129" s="18" t="n"/>
      <c r="AH129" s="18" t="n"/>
      <c r="AI129" s="18" t="n"/>
      <c r="AJ129" s="18" t="n"/>
      <c r="AK129" s="18" t="n"/>
      <c r="AL129" s="18" t="n"/>
    </row>
    <row r="130" ht="12.75" customHeight="1" s="156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  <c r="AC130" s="18" t="n"/>
      <c r="AD130" s="18" t="n"/>
      <c r="AE130" s="18" t="n"/>
      <c r="AF130" s="18" t="n"/>
      <c r="AG130" s="18" t="n"/>
      <c r="AH130" s="18" t="n"/>
      <c r="AI130" s="18" t="n"/>
      <c r="AJ130" s="18" t="n"/>
      <c r="AK130" s="18" t="n"/>
      <c r="AL130" s="18" t="n"/>
    </row>
    <row r="131" ht="12.75" customHeight="1" s="156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  <c r="AD131" s="18" t="n"/>
      <c r="AE131" s="18" t="n"/>
      <c r="AF131" s="18" t="n"/>
      <c r="AG131" s="18" t="n"/>
      <c r="AH131" s="18" t="n"/>
      <c r="AI131" s="18" t="n"/>
      <c r="AJ131" s="18" t="n"/>
      <c r="AK131" s="18" t="n"/>
      <c r="AL131" s="18" t="n"/>
    </row>
    <row r="132" ht="12.75" customHeight="1" s="156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  <c r="AC132" s="18" t="n"/>
      <c r="AD132" s="18" t="n"/>
      <c r="AE132" s="18" t="n"/>
      <c r="AF132" s="18" t="n"/>
      <c r="AG132" s="18" t="n"/>
      <c r="AH132" s="18" t="n"/>
      <c r="AI132" s="18" t="n"/>
      <c r="AJ132" s="18" t="n"/>
      <c r="AK132" s="18" t="n"/>
      <c r="AL132" s="18" t="n"/>
    </row>
    <row r="133" ht="12.75" customHeight="1" s="156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  <c r="AD133" s="18" t="n"/>
      <c r="AE133" s="18" t="n"/>
      <c r="AF133" s="18" t="n"/>
      <c r="AG133" s="18" t="n"/>
      <c r="AH133" s="18" t="n"/>
      <c r="AI133" s="18" t="n"/>
      <c r="AJ133" s="18" t="n"/>
      <c r="AK133" s="18" t="n"/>
      <c r="AL133" s="18" t="n"/>
    </row>
    <row r="134" ht="12.75" customHeight="1" s="156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  <c r="AC134" s="18" t="n"/>
      <c r="AD134" s="18" t="n"/>
      <c r="AE134" s="18" t="n"/>
      <c r="AF134" s="18" t="n"/>
      <c r="AG134" s="18" t="n"/>
      <c r="AH134" s="18" t="n"/>
      <c r="AI134" s="18" t="n"/>
      <c r="AJ134" s="18" t="n"/>
      <c r="AK134" s="18" t="n"/>
      <c r="AL134" s="18" t="n"/>
    </row>
    <row r="135" ht="12.75" customHeight="1" s="156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  <c r="AC135" s="18" t="n"/>
      <c r="AD135" s="18" t="n"/>
      <c r="AE135" s="18" t="n"/>
      <c r="AF135" s="18" t="n"/>
      <c r="AG135" s="18" t="n"/>
      <c r="AH135" s="18" t="n"/>
      <c r="AI135" s="18" t="n"/>
      <c r="AJ135" s="18" t="n"/>
      <c r="AK135" s="18" t="n"/>
      <c r="AL135" s="18" t="n"/>
    </row>
    <row r="136" ht="12.75" customHeight="1" s="15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  <c r="AD136" s="18" t="n"/>
      <c r="AE136" s="18" t="n"/>
      <c r="AF136" s="18" t="n"/>
      <c r="AG136" s="18" t="n"/>
      <c r="AH136" s="18" t="n"/>
      <c r="AI136" s="18" t="n"/>
      <c r="AJ136" s="18" t="n"/>
      <c r="AK136" s="18" t="n"/>
      <c r="AL136" s="18" t="n"/>
    </row>
    <row r="137" ht="12.75" customHeight="1" s="156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  <c r="AC137" s="18" t="n"/>
      <c r="AD137" s="18" t="n"/>
      <c r="AE137" s="18" t="n"/>
      <c r="AF137" s="18" t="n"/>
      <c r="AG137" s="18" t="n"/>
      <c r="AH137" s="18" t="n"/>
      <c r="AI137" s="18" t="n"/>
      <c r="AJ137" s="18" t="n"/>
      <c r="AK137" s="18" t="n"/>
      <c r="AL137" s="18" t="n"/>
    </row>
    <row r="138" ht="12.75" customHeight="1" s="156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  <c r="AD138" s="18" t="n"/>
      <c r="AE138" s="18" t="n"/>
      <c r="AF138" s="18" t="n"/>
      <c r="AG138" s="18" t="n"/>
      <c r="AH138" s="18" t="n"/>
      <c r="AI138" s="18" t="n"/>
      <c r="AJ138" s="18" t="n"/>
      <c r="AK138" s="18" t="n"/>
      <c r="AL138" s="18" t="n"/>
    </row>
    <row r="139" ht="12.75" customHeight="1" s="156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  <c r="AC139" s="18" t="n"/>
      <c r="AD139" s="18" t="n"/>
      <c r="AE139" s="18" t="n"/>
      <c r="AF139" s="18" t="n"/>
      <c r="AG139" s="18" t="n"/>
      <c r="AH139" s="18" t="n"/>
      <c r="AI139" s="18" t="n"/>
      <c r="AJ139" s="18" t="n"/>
      <c r="AK139" s="18" t="n"/>
      <c r="AL139" s="18" t="n"/>
    </row>
    <row r="140" ht="12.75" customHeight="1" s="156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  <c r="AD140" s="18" t="n"/>
      <c r="AE140" s="18" t="n"/>
      <c r="AF140" s="18" t="n"/>
      <c r="AG140" s="18" t="n"/>
      <c r="AH140" s="18" t="n"/>
      <c r="AI140" s="18" t="n"/>
      <c r="AJ140" s="18" t="n"/>
      <c r="AK140" s="18" t="n"/>
      <c r="AL140" s="18" t="n"/>
    </row>
    <row r="141" ht="12.75" customHeight="1" s="156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  <c r="AC141" s="18" t="n"/>
      <c r="AD141" s="18" t="n"/>
      <c r="AE141" s="18" t="n"/>
      <c r="AF141" s="18" t="n"/>
      <c r="AG141" s="18" t="n"/>
      <c r="AH141" s="18" t="n"/>
      <c r="AI141" s="18" t="n"/>
      <c r="AJ141" s="18" t="n"/>
      <c r="AK141" s="18" t="n"/>
      <c r="AL141" s="18" t="n"/>
    </row>
    <row r="142" ht="12.75" customHeight="1" s="156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  <c r="AC142" s="18" t="n"/>
      <c r="AD142" s="18" t="n"/>
      <c r="AE142" s="18" t="n"/>
      <c r="AF142" s="18" t="n"/>
      <c r="AG142" s="18" t="n"/>
      <c r="AH142" s="18" t="n"/>
      <c r="AI142" s="18" t="n"/>
      <c r="AJ142" s="18" t="n"/>
      <c r="AK142" s="18" t="n"/>
      <c r="AL142" s="18" t="n"/>
    </row>
    <row r="143" ht="12.75" customHeight="1" s="156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  <c r="AC143" s="18" t="n"/>
      <c r="AD143" s="18" t="n"/>
      <c r="AE143" s="18" t="n"/>
      <c r="AF143" s="18" t="n"/>
      <c r="AG143" s="18" t="n"/>
      <c r="AH143" s="18" t="n"/>
      <c r="AI143" s="18" t="n"/>
      <c r="AJ143" s="18" t="n"/>
      <c r="AK143" s="18" t="n"/>
      <c r="AL143" s="18" t="n"/>
    </row>
    <row r="144" ht="12.75" customHeight="1" s="156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  <c r="AA144" s="18" t="n"/>
      <c r="AB144" s="18" t="n"/>
      <c r="AC144" s="18" t="n"/>
      <c r="AD144" s="18" t="n"/>
      <c r="AE144" s="18" t="n"/>
      <c r="AF144" s="18" t="n"/>
      <c r="AG144" s="18" t="n"/>
      <c r="AH144" s="18" t="n"/>
      <c r="AI144" s="18" t="n"/>
      <c r="AJ144" s="18" t="n"/>
      <c r="AK144" s="18" t="n"/>
      <c r="AL144" s="18" t="n"/>
    </row>
    <row r="145" ht="12.75" customHeight="1" s="156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  <c r="AC145" s="18" t="n"/>
      <c r="AD145" s="18" t="n"/>
      <c r="AE145" s="18" t="n"/>
      <c r="AF145" s="18" t="n"/>
      <c r="AG145" s="18" t="n"/>
      <c r="AH145" s="18" t="n"/>
      <c r="AI145" s="18" t="n"/>
      <c r="AJ145" s="18" t="n"/>
      <c r="AK145" s="18" t="n"/>
      <c r="AL145" s="18" t="n"/>
    </row>
    <row r="146" ht="12.75" customHeight="1" s="15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  <c r="AA146" s="18" t="n"/>
      <c r="AB146" s="18" t="n"/>
      <c r="AC146" s="18" t="n"/>
      <c r="AD146" s="18" t="n"/>
      <c r="AE146" s="18" t="n"/>
      <c r="AF146" s="18" t="n"/>
      <c r="AG146" s="18" t="n"/>
      <c r="AH146" s="18" t="n"/>
      <c r="AI146" s="18" t="n"/>
      <c r="AJ146" s="18" t="n"/>
      <c r="AK146" s="18" t="n"/>
      <c r="AL146" s="18" t="n"/>
    </row>
    <row r="147" ht="12.75" customHeight="1" s="156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  <c r="AD147" s="18" t="n"/>
      <c r="AE147" s="18" t="n"/>
      <c r="AF147" s="18" t="n"/>
      <c r="AG147" s="18" t="n"/>
      <c r="AH147" s="18" t="n"/>
      <c r="AI147" s="18" t="n"/>
      <c r="AJ147" s="18" t="n"/>
      <c r="AK147" s="18" t="n"/>
      <c r="AL147" s="18" t="n"/>
    </row>
    <row r="148" ht="12.75" customHeight="1" s="156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  <c r="AC148" s="18" t="n"/>
      <c r="AD148" s="18" t="n"/>
      <c r="AE148" s="18" t="n"/>
      <c r="AF148" s="18" t="n"/>
      <c r="AG148" s="18" t="n"/>
      <c r="AH148" s="18" t="n"/>
      <c r="AI148" s="18" t="n"/>
      <c r="AJ148" s="18" t="n"/>
      <c r="AK148" s="18" t="n"/>
      <c r="AL148" s="18" t="n"/>
    </row>
    <row r="149" ht="12.75" customHeight="1" s="156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  <c r="AA149" s="18" t="n"/>
      <c r="AB149" s="18" t="n"/>
      <c r="AC149" s="18" t="n"/>
      <c r="AD149" s="18" t="n"/>
      <c r="AE149" s="18" t="n"/>
      <c r="AF149" s="18" t="n"/>
      <c r="AG149" s="18" t="n"/>
      <c r="AH149" s="18" t="n"/>
      <c r="AI149" s="18" t="n"/>
      <c r="AJ149" s="18" t="n"/>
      <c r="AK149" s="18" t="n"/>
      <c r="AL149" s="18" t="n"/>
    </row>
    <row r="150" ht="12.75" customHeight="1" s="156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  <c r="AC150" s="18" t="n"/>
      <c r="AD150" s="18" t="n"/>
      <c r="AE150" s="18" t="n"/>
      <c r="AF150" s="18" t="n"/>
      <c r="AG150" s="18" t="n"/>
      <c r="AH150" s="18" t="n"/>
      <c r="AI150" s="18" t="n"/>
      <c r="AJ150" s="18" t="n"/>
      <c r="AK150" s="18" t="n"/>
      <c r="AL150" s="18" t="n"/>
    </row>
    <row r="151" ht="12.75" customHeight="1" s="156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  <c r="AC151" s="18" t="n"/>
      <c r="AD151" s="18" t="n"/>
      <c r="AE151" s="18" t="n"/>
      <c r="AF151" s="18" t="n"/>
      <c r="AG151" s="18" t="n"/>
      <c r="AH151" s="18" t="n"/>
      <c r="AI151" s="18" t="n"/>
      <c r="AJ151" s="18" t="n"/>
      <c r="AK151" s="18" t="n"/>
      <c r="AL151" s="18" t="n"/>
    </row>
    <row r="152" ht="12.75" customHeight="1" s="156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  <c r="AC152" s="18" t="n"/>
      <c r="AD152" s="18" t="n"/>
      <c r="AE152" s="18" t="n"/>
      <c r="AF152" s="18" t="n"/>
      <c r="AG152" s="18" t="n"/>
      <c r="AH152" s="18" t="n"/>
      <c r="AI152" s="18" t="n"/>
      <c r="AJ152" s="18" t="n"/>
      <c r="AK152" s="18" t="n"/>
      <c r="AL152" s="18" t="n"/>
    </row>
    <row r="153" ht="12.75" customHeight="1" s="156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  <c r="AC153" s="18" t="n"/>
      <c r="AD153" s="18" t="n"/>
      <c r="AE153" s="18" t="n"/>
      <c r="AF153" s="18" t="n"/>
      <c r="AG153" s="18" t="n"/>
      <c r="AH153" s="18" t="n"/>
      <c r="AI153" s="18" t="n"/>
      <c r="AJ153" s="18" t="n"/>
      <c r="AK153" s="18" t="n"/>
      <c r="AL153" s="18" t="n"/>
    </row>
    <row r="154" ht="12.75" customHeight="1" s="156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  <c r="AC154" s="18" t="n"/>
      <c r="AD154" s="18" t="n"/>
      <c r="AE154" s="18" t="n"/>
      <c r="AF154" s="18" t="n"/>
      <c r="AG154" s="18" t="n"/>
      <c r="AH154" s="18" t="n"/>
      <c r="AI154" s="18" t="n"/>
      <c r="AJ154" s="18" t="n"/>
      <c r="AK154" s="18" t="n"/>
      <c r="AL154" s="18" t="n"/>
    </row>
    <row r="155" ht="12.75" customHeight="1" s="156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  <c r="AC155" s="18" t="n"/>
      <c r="AD155" s="18" t="n"/>
      <c r="AE155" s="18" t="n"/>
      <c r="AF155" s="18" t="n"/>
      <c r="AG155" s="18" t="n"/>
      <c r="AH155" s="18" t="n"/>
      <c r="AI155" s="18" t="n"/>
      <c r="AJ155" s="18" t="n"/>
      <c r="AK155" s="18" t="n"/>
      <c r="AL155" s="18" t="n"/>
    </row>
    <row r="156" ht="12.75" customHeight="1" s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  <c r="AC156" s="18" t="n"/>
      <c r="AD156" s="18" t="n"/>
      <c r="AE156" s="18" t="n"/>
      <c r="AF156" s="18" t="n"/>
      <c r="AG156" s="18" t="n"/>
      <c r="AH156" s="18" t="n"/>
      <c r="AI156" s="18" t="n"/>
      <c r="AJ156" s="18" t="n"/>
      <c r="AK156" s="18" t="n"/>
      <c r="AL156" s="18" t="n"/>
    </row>
    <row r="157" ht="12.75" customHeight="1" s="156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  <c r="AC157" s="18" t="n"/>
      <c r="AD157" s="18" t="n"/>
      <c r="AE157" s="18" t="n"/>
      <c r="AF157" s="18" t="n"/>
      <c r="AG157" s="18" t="n"/>
      <c r="AH157" s="18" t="n"/>
      <c r="AI157" s="18" t="n"/>
      <c r="AJ157" s="18" t="n"/>
      <c r="AK157" s="18" t="n"/>
      <c r="AL157" s="18" t="n"/>
    </row>
    <row r="158" ht="12.75" customHeight="1" s="156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  <c r="AC158" s="18" t="n"/>
      <c r="AD158" s="18" t="n"/>
      <c r="AE158" s="18" t="n"/>
      <c r="AF158" s="18" t="n"/>
      <c r="AG158" s="18" t="n"/>
      <c r="AH158" s="18" t="n"/>
      <c r="AI158" s="18" t="n"/>
      <c r="AJ158" s="18" t="n"/>
      <c r="AK158" s="18" t="n"/>
      <c r="AL158" s="18" t="n"/>
    </row>
    <row r="159" ht="12.75" customHeight="1" s="156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  <c r="AC159" s="18" t="n"/>
      <c r="AD159" s="18" t="n"/>
      <c r="AE159" s="18" t="n"/>
      <c r="AF159" s="18" t="n"/>
      <c r="AG159" s="18" t="n"/>
      <c r="AH159" s="18" t="n"/>
      <c r="AI159" s="18" t="n"/>
      <c r="AJ159" s="18" t="n"/>
      <c r="AK159" s="18" t="n"/>
      <c r="AL159" s="18" t="n"/>
    </row>
    <row r="160" ht="12.75" customHeight="1" s="156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  <c r="AC160" s="18" t="n"/>
      <c r="AD160" s="18" t="n"/>
      <c r="AE160" s="18" t="n"/>
      <c r="AF160" s="18" t="n"/>
      <c r="AG160" s="18" t="n"/>
      <c r="AH160" s="18" t="n"/>
      <c r="AI160" s="18" t="n"/>
      <c r="AJ160" s="18" t="n"/>
      <c r="AK160" s="18" t="n"/>
      <c r="AL160" s="18" t="n"/>
    </row>
    <row r="161" ht="12.75" customHeight="1" s="156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  <c r="AC161" s="18" t="n"/>
      <c r="AD161" s="18" t="n"/>
      <c r="AE161" s="18" t="n"/>
      <c r="AF161" s="18" t="n"/>
      <c r="AG161" s="18" t="n"/>
      <c r="AH161" s="18" t="n"/>
      <c r="AI161" s="18" t="n"/>
      <c r="AJ161" s="18" t="n"/>
      <c r="AK161" s="18" t="n"/>
      <c r="AL161" s="18" t="n"/>
    </row>
    <row r="162" ht="12.75" customHeight="1" s="156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  <c r="AC162" s="18" t="n"/>
      <c r="AD162" s="18" t="n"/>
      <c r="AE162" s="18" t="n"/>
      <c r="AF162" s="18" t="n"/>
      <c r="AG162" s="18" t="n"/>
      <c r="AH162" s="18" t="n"/>
      <c r="AI162" s="18" t="n"/>
      <c r="AJ162" s="18" t="n"/>
      <c r="AK162" s="18" t="n"/>
      <c r="AL162" s="18" t="n"/>
    </row>
    <row r="163" ht="12.75" customHeight="1" s="156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  <c r="AA163" s="18" t="n"/>
      <c r="AB163" s="18" t="n"/>
      <c r="AC163" s="18" t="n"/>
      <c r="AD163" s="18" t="n"/>
      <c r="AE163" s="18" t="n"/>
      <c r="AF163" s="18" t="n"/>
      <c r="AG163" s="18" t="n"/>
      <c r="AH163" s="18" t="n"/>
      <c r="AI163" s="18" t="n"/>
      <c r="AJ163" s="18" t="n"/>
      <c r="AK163" s="18" t="n"/>
      <c r="AL163" s="18" t="n"/>
    </row>
    <row r="164" ht="12.75" customHeight="1" s="156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  <c r="AA164" s="18" t="n"/>
      <c r="AB164" s="18" t="n"/>
      <c r="AC164" s="18" t="n"/>
      <c r="AD164" s="18" t="n"/>
      <c r="AE164" s="18" t="n"/>
      <c r="AF164" s="18" t="n"/>
      <c r="AG164" s="18" t="n"/>
      <c r="AH164" s="18" t="n"/>
      <c r="AI164" s="18" t="n"/>
      <c r="AJ164" s="18" t="n"/>
      <c r="AK164" s="18" t="n"/>
      <c r="AL164" s="18" t="n"/>
    </row>
    <row r="165" ht="12.75" customHeight="1" s="156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  <c r="AA165" s="18" t="n"/>
      <c r="AB165" s="18" t="n"/>
      <c r="AC165" s="18" t="n"/>
      <c r="AD165" s="18" t="n"/>
      <c r="AE165" s="18" t="n"/>
      <c r="AF165" s="18" t="n"/>
      <c r="AG165" s="18" t="n"/>
      <c r="AH165" s="18" t="n"/>
      <c r="AI165" s="18" t="n"/>
      <c r="AJ165" s="18" t="n"/>
      <c r="AK165" s="18" t="n"/>
      <c r="AL165" s="18" t="n"/>
    </row>
    <row r="166" ht="12.75" customHeight="1" s="15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  <c r="AA166" s="18" t="n"/>
      <c r="AB166" s="18" t="n"/>
      <c r="AC166" s="18" t="n"/>
      <c r="AD166" s="18" t="n"/>
      <c r="AE166" s="18" t="n"/>
      <c r="AF166" s="18" t="n"/>
      <c r="AG166" s="18" t="n"/>
      <c r="AH166" s="18" t="n"/>
      <c r="AI166" s="18" t="n"/>
      <c r="AJ166" s="18" t="n"/>
      <c r="AK166" s="18" t="n"/>
      <c r="AL166" s="18" t="n"/>
    </row>
    <row r="167" ht="12.75" customHeight="1" s="156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  <c r="AC167" s="18" t="n"/>
      <c r="AD167" s="18" t="n"/>
      <c r="AE167" s="18" t="n"/>
      <c r="AF167" s="18" t="n"/>
      <c r="AG167" s="18" t="n"/>
      <c r="AH167" s="18" t="n"/>
      <c r="AI167" s="18" t="n"/>
      <c r="AJ167" s="18" t="n"/>
      <c r="AK167" s="18" t="n"/>
      <c r="AL167" s="18" t="n"/>
    </row>
    <row r="168" ht="12.75" customHeight="1" s="156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  <c r="AA168" s="18" t="n"/>
      <c r="AB168" s="18" t="n"/>
      <c r="AC168" s="18" t="n"/>
      <c r="AD168" s="18" t="n"/>
      <c r="AE168" s="18" t="n"/>
      <c r="AF168" s="18" t="n"/>
      <c r="AG168" s="18" t="n"/>
      <c r="AH168" s="18" t="n"/>
      <c r="AI168" s="18" t="n"/>
      <c r="AJ168" s="18" t="n"/>
      <c r="AK168" s="18" t="n"/>
      <c r="AL168" s="18" t="n"/>
    </row>
    <row r="169" ht="12.75" customHeight="1" s="156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  <c r="AA169" s="18" t="n"/>
      <c r="AB169" s="18" t="n"/>
      <c r="AC169" s="18" t="n"/>
      <c r="AD169" s="18" t="n"/>
      <c r="AE169" s="18" t="n"/>
      <c r="AF169" s="18" t="n"/>
      <c r="AG169" s="18" t="n"/>
      <c r="AH169" s="18" t="n"/>
      <c r="AI169" s="18" t="n"/>
      <c r="AJ169" s="18" t="n"/>
      <c r="AK169" s="18" t="n"/>
      <c r="AL169" s="18" t="n"/>
    </row>
    <row r="170" ht="12.75" customHeight="1" s="156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  <c r="AA170" s="18" t="n"/>
      <c r="AB170" s="18" t="n"/>
      <c r="AC170" s="18" t="n"/>
      <c r="AD170" s="18" t="n"/>
      <c r="AE170" s="18" t="n"/>
      <c r="AF170" s="18" t="n"/>
      <c r="AG170" s="18" t="n"/>
      <c r="AH170" s="18" t="n"/>
      <c r="AI170" s="18" t="n"/>
      <c r="AJ170" s="18" t="n"/>
      <c r="AK170" s="18" t="n"/>
      <c r="AL170" s="18" t="n"/>
    </row>
    <row r="171" ht="12.75" customHeight="1" s="156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  <c r="AA171" s="18" t="n"/>
      <c r="AB171" s="18" t="n"/>
      <c r="AC171" s="18" t="n"/>
      <c r="AD171" s="18" t="n"/>
      <c r="AE171" s="18" t="n"/>
      <c r="AF171" s="18" t="n"/>
      <c r="AG171" s="18" t="n"/>
      <c r="AH171" s="18" t="n"/>
      <c r="AI171" s="18" t="n"/>
      <c r="AJ171" s="18" t="n"/>
      <c r="AK171" s="18" t="n"/>
      <c r="AL171" s="18" t="n"/>
    </row>
    <row r="172" ht="12.75" customHeight="1" s="156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  <c r="AA172" s="18" t="n"/>
      <c r="AB172" s="18" t="n"/>
      <c r="AC172" s="18" t="n"/>
      <c r="AD172" s="18" t="n"/>
      <c r="AE172" s="18" t="n"/>
      <c r="AF172" s="18" t="n"/>
      <c r="AG172" s="18" t="n"/>
      <c r="AH172" s="18" t="n"/>
      <c r="AI172" s="18" t="n"/>
      <c r="AJ172" s="18" t="n"/>
      <c r="AK172" s="18" t="n"/>
      <c r="AL172" s="18" t="n"/>
    </row>
    <row r="173" ht="12.75" customHeight="1" s="156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  <c r="AA173" s="18" t="n"/>
      <c r="AB173" s="18" t="n"/>
      <c r="AC173" s="18" t="n"/>
      <c r="AD173" s="18" t="n"/>
      <c r="AE173" s="18" t="n"/>
      <c r="AF173" s="18" t="n"/>
      <c r="AG173" s="18" t="n"/>
      <c r="AH173" s="18" t="n"/>
      <c r="AI173" s="18" t="n"/>
      <c r="AJ173" s="18" t="n"/>
      <c r="AK173" s="18" t="n"/>
      <c r="AL173" s="18" t="n"/>
    </row>
    <row r="174" ht="12.75" customHeight="1" s="156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  <c r="AA174" s="18" t="n"/>
      <c r="AB174" s="18" t="n"/>
      <c r="AC174" s="18" t="n"/>
      <c r="AD174" s="18" t="n"/>
      <c r="AE174" s="18" t="n"/>
      <c r="AF174" s="18" t="n"/>
      <c r="AG174" s="18" t="n"/>
      <c r="AH174" s="18" t="n"/>
      <c r="AI174" s="18" t="n"/>
      <c r="AJ174" s="18" t="n"/>
      <c r="AK174" s="18" t="n"/>
      <c r="AL174" s="18" t="n"/>
    </row>
    <row r="175" ht="12.75" customHeight="1" s="156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  <c r="AA175" s="18" t="n"/>
      <c r="AB175" s="18" t="n"/>
      <c r="AC175" s="18" t="n"/>
      <c r="AD175" s="18" t="n"/>
      <c r="AE175" s="18" t="n"/>
      <c r="AF175" s="18" t="n"/>
      <c r="AG175" s="18" t="n"/>
      <c r="AH175" s="18" t="n"/>
      <c r="AI175" s="18" t="n"/>
      <c r="AJ175" s="18" t="n"/>
      <c r="AK175" s="18" t="n"/>
      <c r="AL175" s="18" t="n"/>
    </row>
    <row r="176" ht="12.75" customHeight="1" s="15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  <c r="AA176" s="18" t="n"/>
      <c r="AB176" s="18" t="n"/>
      <c r="AC176" s="18" t="n"/>
      <c r="AD176" s="18" t="n"/>
      <c r="AE176" s="18" t="n"/>
      <c r="AF176" s="18" t="n"/>
      <c r="AG176" s="18" t="n"/>
      <c r="AH176" s="18" t="n"/>
      <c r="AI176" s="18" t="n"/>
      <c r="AJ176" s="18" t="n"/>
      <c r="AK176" s="18" t="n"/>
      <c r="AL176" s="18" t="n"/>
    </row>
    <row r="177" ht="12.75" customHeight="1" s="156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  <c r="AA177" s="18" t="n"/>
      <c r="AB177" s="18" t="n"/>
      <c r="AC177" s="18" t="n"/>
      <c r="AD177" s="18" t="n"/>
      <c r="AE177" s="18" t="n"/>
      <c r="AF177" s="18" t="n"/>
      <c r="AG177" s="18" t="n"/>
      <c r="AH177" s="18" t="n"/>
      <c r="AI177" s="18" t="n"/>
      <c r="AJ177" s="18" t="n"/>
      <c r="AK177" s="18" t="n"/>
      <c r="AL177" s="18" t="n"/>
    </row>
    <row r="178" ht="12.75" customHeight="1" s="156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  <c r="AA178" s="18" t="n"/>
      <c r="AB178" s="18" t="n"/>
      <c r="AC178" s="18" t="n"/>
      <c r="AD178" s="18" t="n"/>
      <c r="AE178" s="18" t="n"/>
      <c r="AF178" s="18" t="n"/>
      <c r="AG178" s="18" t="n"/>
      <c r="AH178" s="18" t="n"/>
      <c r="AI178" s="18" t="n"/>
      <c r="AJ178" s="18" t="n"/>
      <c r="AK178" s="18" t="n"/>
      <c r="AL178" s="18" t="n"/>
    </row>
    <row r="179" ht="12.75" customHeight="1" s="156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  <c r="AA179" s="18" t="n"/>
      <c r="AB179" s="18" t="n"/>
      <c r="AC179" s="18" t="n"/>
      <c r="AD179" s="18" t="n"/>
      <c r="AE179" s="18" t="n"/>
      <c r="AF179" s="18" t="n"/>
      <c r="AG179" s="18" t="n"/>
      <c r="AH179" s="18" t="n"/>
      <c r="AI179" s="18" t="n"/>
      <c r="AJ179" s="18" t="n"/>
      <c r="AK179" s="18" t="n"/>
      <c r="AL179" s="18" t="n"/>
    </row>
    <row r="180" ht="12.75" customHeight="1" s="156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  <c r="AA180" s="18" t="n"/>
      <c r="AB180" s="18" t="n"/>
      <c r="AC180" s="18" t="n"/>
      <c r="AD180" s="18" t="n"/>
      <c r="AE180" s="18" t="n"/>
      <c r="AF180" s="18" t="n"/>
      <c r="AG180" s="18" t="n"/>
      <c r="AH180" s="18" t="n"/>
      <c r="AI180" s="18" t="n"/>
      <c r="AJ180" s="18" t="n"/>
      <c r="AK180" s="18" t="n"/>
      <c r="AL180" s="18" t="n"/>
    </row>
    <row r="181" ht="12.75" customHeight="1" s="156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  <c r="AA181" s="18" t="n"/>
      <c r="AB181" s="18" t="n"/>
      <c r="AC181" s="18" t="n"/>
      <c r="AD181" s="18" t="n"/>
      <c r="AE181" s="18" t="n"/>
      <c r="AF181" s="18" t="n"/>
      <c r="AG181" s="18" t="n"/>
      <c r="AH181" s="18" t="n"/>
      <c r="AI181" s="18" t="n"/>
      <c r="AJ181" s="18" t="n"/>
      <c r="AK181" s="18" t="n"/>
      <c r="AL181" s="18" t="n"/>
    </row>
    <row r="182" ht="12.75" customHeight="1" s="156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  <c r="AA182" s="18" t="n"/>
      <c r="AB182" s="18" t="n"/>
      <c r="AC182" s="18" t="n"/>
      <c r="AD182" s="18" t="n"/>
      <c r="AE182" s="18" t="n"/>
      <c r="AF182" s="18" t="n"/>
      <c r="AG182" s="18" t="n"/>
      <c r="AH182" s="18" t="n"/>
      <c r="AI182" s="18" t="n"/>
      <c r="AJ182" s="18" t="n"/>
      <c r="AK182" s="18" t="n"/>
      <c r="AL182" s="18" t="n"/>
    </row>
    <row r="183" ht="12.75" customHeight="1" s="156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  <c r="AA183" s="18" t="n"/>
      <c r="AB183" s="18" t="n"/>
      <c r="AC183" s="18" t="n"/>
      <c r="AD183" s="18" t="n"/>
      <c r="AE183" s="18" t="n"/>
      <c r="AF183" s="18" t="n"/>
      <c r="AG183" s="18" t="n"/>
      <c r="AH183" s="18" t="n"/>
      <c r="AI183" s="18" t="n"/>
      <c r="AJ183" s="18" t="n"/>
      <c r="AK183" s="18" t="n"/>
      <c r="AL183" s="18" t="n"/>
    </row>
    <row r="184" ht="12.75" customHeight="1" s="156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  <c r="AA184" s="18" t="n"/>
      <c r="AB184" s="18" t="n"/>
      <c r="AC184" s="18" t="n"/>
      <c r="AD184" s="18" t="n"/>
      <c r="AE184" s="18" t="n"/>
      <c r="AF184" s="18" t="n"/>
      <c r="AG184" s="18" t="n"/>
      <c r="AH184" s="18" t="n"/>
      <c r="AI184" s="18" t="n"/>
      <c r="AJ184" s="18" t="n"/>
      <c r="AK184" s="18" t="n"/>
      <c r="AL184" s="18" t="n"/>
    </row>
    <row r="185" ht="12.75" customHeight="1" s="156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  <c r="AA185" s="18" t="n"/>
      <c r="AB185" s="18" t="n"/>
      <c r="AC185" s="18" t="n"/>
      <c r="AD185" s="18" t="n"/>
      <c r="AE185" s="18" t="n"/>
      <c r="AF185" s="18" t="n"/>
      <c r="AG185" s="18" t="n"/>
      <c r="AH185" s="18" t="n"/>
      <c r="AI185" s="18" t="n"/>
      <c r="AJ185" s="18" t="n"/>
      <c r="AK185" s="18" t="n"/>
      <c r="AL185" s="18" t="n"/>
    </row>
    <row r="186" ht="12.75" customHeight="1" s="15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  <c r="AA186" s="18" t="n"/>
      <c r="AB186" s="18" t="n"/>
      <c r="AC186" s="18" t="n"/>
      <c r="AD186" s="18" t="n"/>
      <c r="AE186" s="18" t="n"/>
      <c r="AF186" s="18" t="n"/>
      <c r="AG186" s="18" t="n"/>
      <c r="AH186" s="18" t="n"/>
      <c r="AI186" s="18" t="n"/>
      <c r="AJ186" s="18" t="n"/>
      <c r="AK186" s="18" t="n"/>
      <c r="AL186" s="18" t="n"/>
    </row>
    <row r="187" ht="12.75" customHeight="1" s="156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  <c r="AA187" s="18" t="n"/>
      <c r="AB187" s="18" t="n"/>
      <c r="AC187" s="18" t="n"/>
      <c r="AD187" s="18" t="n"/>
      <c r="AE187" s="18" t="n"/>
      <c r="AF187" s="18" t="n"/>
      <c r="AG187" s="18" t="n"/>
      <c r="AH187" s="18" t="n"/>
      <c r="AI187" s="18" t="n"/>
      <c r="AJ187" s="18" t="n"/>
      <c r="AK187" s="18" t="n"/>
      <c r="AL187" s="18" t="n"/>
    </row>
    <row r="188" ht="12.75" customHeight="1" s="156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  <c r="AA188" s="18" t="n"/>
      <c r="AB188" s="18" t="n"/>
      <c r="AC188" s="18" t="n"/>
      <c r="AD188" s="18" t="n"/>
      <c r="AE188" s="18" t="n"/>
      <c r="AF188" s="18" t="n"/>
      <c r="AG188" s="18" t="n"/>
      <c r="AH188" s="18" t="n"/>
      <c r="AI188" s="18" t="n"/>
      <c r="AJ188" s="18" t="n"/>
      <c r="AK188" s="18" t="n"/>
      <c r="AL188" s="18" t="n"/>
    </row>
    <row r="189" ht="12.75" customHeight="1" s="156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  <c r="AA189" s="18" t="n"/>
      <c r="AB189" s="18" t="n"/>
      <c r="AC189" s="18" t="n"/>
      <c r="AD189" s="18" t="n"/>
      <c r="AE189" s="18" t="n"/>
      <c r="AF189" s="18" t="n"/>
      <c r="AG189" s="18" t="n"/>
      <c r="AH189" s="18" t="n"/>
      <c r="AI189" s="18" t="n"/>
      <c r="AJ189" s="18" t="n"/>
      <c r="AK189" s="18" t="n"/>
      <c r="AL189" s="18" t="n"/>
    </row>
    <row r="190" ht="12.75" customHeight="1" s="156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  <c r="AA190" s="18" t="n"/>
      <c r="AB190" s="18" t="n"/>
      <c r="AC190" s="18" t="n"/>
      <c r="AD190" s="18" t="n"/>
      <c r="AE190" s="18" t="n"/>
      <c r="AF190" s="18" t="n"/>
      <c r="AG190" s="18" t="n"/>
      <c r="AH190" s="18" t="n"/>
      <c r="AI190" s="18" t="n"/>
      <c r="AJ190" s="18" t="n"/>
      <c r="AK190" s="18" t="n"/>
      <c r="AL190" s="18" t="n"/>
    </row>
    <row r="191" ht="12.75" customHeight="1" s="156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  <c r="AA191" s="18" t="n"/>
      <c r="AB191" s="18" t="n"/>
      <c r="AC191" s="18" t="n"/>
      <c r="AD191" s="18" t="n"/>
      <c r="AE191" s="18" t="n"/>
      <c r="AF191" s="18" t="n"/>
      <c r="AG191" s="18" t="n"/>
      <c r="AH191" s="18" t="n"/>
      <c r="AI191" s="18" t="n"/>
      <c r="AJ191" s="18" t="n"/>
      <c r="AK191" s="18" t="n"/>
      <c r="AL191" s="18" t="n"/>
    </row>
    <row r="192" ht="12.75" customHeight="1" s="156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  <c r="AA192" s="18" t="n"/>
      <c r="AB192" s="18" t="n"/>
      <c r="AC192" s="18" t="n"/>
      <c r="AD192" s="18" t="n"/>
      <c r="AE192" s="18" t="n"/>
      <c r="AF192" s="18" t="n"/>
      <c r="AG192" s="18" t="n"/>
      <c r="AH192" s="18" t="n"/>
      <c r="AI192" s="18" t="n"/>
      <c r="AJ192" s="18" t="n"/>
      <c r="AK192" s="18" t="n"/>
      <c r="AL192" s="18" t="n"/>
    </row>
    <row r="193" ht="12.75" customHeight="1" s="156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  <c r="AA193" s="18" t="n"/>
      <c r="AB193" s="18" t="n"/>
      <c r="AC193" s="18" t="n"/>
      <c r="AD193" s="18" t="n"/>
      <c r="AE193" s="18" t="n"/>
      <c r="AF193" s="18" t="n"/>
      <c r="AG193" s="18" t="n"/>
      <c r="AH193" s="18" t="n"/>
      <c r="AI193" s="18" t="n"/>
      <c r="AJ193" s="18" t="n"/>
      <c r="AK193" s="18" t="n"/>
      <c r="AL193" s="18" t="n"/>
    </row>
    <row r="194" ht="12.75" customHeight="1" s="156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  <c r="AA194" s="18" t="n"/>
      <c r="AB194" s="18" t="n"/>
      <c r="AC194" s="18" t="n"/>
      <c r="AD194" s="18" t="n"/>
      <c r="AE194" s="18" t="n"/>
      <c r="AF194" s="18" t="n"/>
      <c r="AG194" s="18" t="n"/>
      <c r="AH194" s="18" t="n"/>
      <c r="AI194" s="18" t="n"/>
      <c r="AJ194" s="18" t="n"/>
      <c r="AK194" s="18" t="n"/>
      <c r="AL194" s="18" t="n"/>
    </row>
    <row r="195" ht="12.75" customHeight="1" s="156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  <c r="AA195" s="18" t="n"/>
      <c r="AB195" s="18" t="n"/>
      <c r="AC195" s="18" t="n"/>
      <c r="AD195" s="18" t="n"/>
      <c r="AE195" s="18" t="n"/>
      <c r="AF195" s="18" t="n"/>
      <c r="AG195" s="18" t="n"/>
      <c r="AH195" s="18" t="n"/>
      <c r="AI195" s="18" t="n"/>
      <c r="AJ195" s="18" t="n"/>
      <c r="AK195" s="18" t="n"/>
      <c r="AL195" s="18" t="n"/>
    </row>
    <row r="196" ht="12.75" customHeight="1" s="15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  <c r="AA196" s="18" t="n"/>
      <c r="AB196" s="18" t="n"/>
      <c r="AC196" s="18" t="n"/>
      <c r="AD196" s="18" t="n"/>
      <c r="AE196" s="18" t="n"/>
      <c r="AF196" s="18" t="n"/>
      <c r="AG196" s="18" t="n"/>
      <c r="AH196" s="18" t="n"/>
      <c r="AI196" s="18" t="n"/>
      <c r="AJ196" s="18" t="n"/>
      <c r="AK196" s="18" t="n"/>
      <c r="AL196" s="18" t="n"/>
    </row>
    <row r="197" ht="12.75" customHeight="1" s="156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  <c r="AA197" s="18" t="n"/>
      <c r="AB197" s="18" t="n"/>
      <c r="AC197" s="18" t="n"/>
      <c r="AD197" s="18" t="n"/>
      <c r="AE197" s="18" t="n"/>
      <c r="AF197" s="18" t="n"/>
      <c r="AG197" s="18" t="n"/>
      <c r="AH197" s="18" t="n"/>
      <c r="AI197" s="18" t="n"/>
      <c r="AJ197" s="18" t="n"/>
      <c r="AK197" s="18" t="n"/>
      <c r="AL197" s="18" t="n"/>
    </row>
    <row r="198" ht="12.75" customHeight="1" s="156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  <c r="AA198" s="18" t="n"/>
      <c r="AB198" s="18" t="n"/>
      <c r="AC198" s="18" t="n"/>
      <c r="AD198" s="18" t="n"/>
      <c r="AE198" s="18" t="n"/>
      <c r="AF198" s="18" t="n"/>
      <c r="AG198" s="18" t="n"/>
      <c r="AH198" s="18" t="n"/>
      <c r="AI198" s="18" t="n"/>
      <c r="AJ198" s="18" t="n"/>
      <c r="AK198" s="18" t="n"/>
      <c r="AL198" s="18" t="n"/>
    </row>
    <row r="199" ht="12.75" customHeight="1" s="156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  <c r="AA199" s="18" t="n"/>
      <c r="AB199" s="18" t="n"/>
      <c r="AC199" s="18" t="n"/>
      <c r="AD199" s="18" t="n"/>
      <c r="AE199" s="18" t="n"/>
      <c r="AF199" s="18" t="n"/>
      <c r="AG199" s="18" t="n"/>
      <c r="AH199" s="18" t="n"/>
      <c r="AI199" s="18" t="n"/>
      <c r="AJ199" s="18" t="n"/>
      <c r="AK199" s="18" t="n"/>
      <c r="AL199" s="18" t="n"/>
    </row>
    <row r="200" ht="12.75" customHeight="1" s="156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  <c r="AA200" s="18" t="n"/>
      <c r="AB200" s="18" t="n"/>
      <c r="AC200" s="18" t="n"/>
      <c r="AD200" s="18" t="n"/>
      <c r="AE200" s="18" t="n"/>
      <c r="AF200" s="18" t="n"/>
      <c r="AG200" s="18" t="n"/>
      <c r="AH200" s="18" t="n"/>
      <c r="AI200" s="18" t="n"/>
      <c r="AJ200" s="18" t="n"/>
      <c r="AK200" s="18" t="n"/>
      <c r="AL200" s="18" t="n"/>
    </row>
    <row r="201" ht="12.75" customHeight="1" s="156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  <c r="AA201" s="18" t="n"/>
      <c r="AB201" s="18" t="n"/>
      <c r="AC201" s="18" t="n"/>
      <c r="AD201" s="18" t="n"/>
      <c r="AE201" s="18" t="n"/>
      <c r="AF201" s="18" t="n"/>
      <c r="AG201" s="18" t="n"/>
      <c r="AH201" s="18" t="n"/>
      <c r="AI201" s="18" t="n"/>
      <c r="AJ201" s="18" t="n"/>
      <c r="AK201" s="18" t="n"/>
      <c r="AL201" s="18" t="n"/>
    </row>
    <row r="202" ht="12.75" customHeight="1" s="156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  <c r="AA202" s="18" t="n"/>
      <c r="AB202" s="18" t="n"/>
      <c r="AC202" s="18" t="n"/>
      <c r="AD202" s="18" t="n"/>
      <c r="AE202" s="18" t="n"/>
      <c r="AF202" s="18" t="n"/>
      <c r="AG202" s="18" t="n"/>
      <c r="AH202" s="18" t="n"/>
      <c r="AI202" s="18" t="n"/>
      <c r="AJ202" s="18" t="n"/>
      <c r="AK202" s="18" t="n"/>
      <c r="AL202" s="18" t="n"/>
    </row>
    <row r="203" ht="12.75" customHeight="1" s="156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  <c r="AA203" s="18" t="n"/>
      <c r="AB203" s="18" t="n"/>
      <c r="AC203" s="18" t="n"/>
      <c r="AD203" s="18" t="n"/>
      <c r="AE203" s="18" t="n"/>
      <c r="AF203" s="18" t="n"/>
      <c r="AG203" s="18" t="n"/>
      <c r="AH203" s="18" t="n"/>
      <c r="AI203" s="18" t="n"/>
      <c r="AJ203" s="18" t="n"/>
      <c r="AK203" s="18" t="n"/>
      <c r="AL203" s="18" t="n"/>
    </row>
    <row r="204" ht="12.75" customHeight="1" s="156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  <c r="AA204" s="18" t="n"/>
      <c r="AB204" s="18" t="n"/>
      <c r="AC204" s="18" t="n"/>
      <c r="AD204" s="18" t="n"/>
      <c r="AE204" s="18" t="n"/>
      <c r="AF204" s="18" t="n"/>
      <c r="AG204" s="18" t="n"/>
      <c r="AH204" s="18" t="n"/>
      <c r="AI204" s="18" t="n"/>
      <c r="AJ204" s="18" t="n"/>
      <c r="AK204" s="18" t="n"/>
      <c r="AL204" s="18" t="n"/>
    </row>
    <row r="205" ht="12.75" customHeight="1" s="156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  <c r="AA205" s="18" t="n"/>
      <c r="AB205" s="18" t="n"/>
      <c r="AC205" s="18" t="n"/>
      <c r="AD205" s="18" t="n"/>
      <c r="AE205" s="18" t="n"/>
      <c r="AF205" s="18" t="n"/>
      <c r="AG205" s="18" t="n"/>
      <c r="AH205" s="18" t="n"/>
      <c r="AI205" s="18" t="n"/>
      <c r="AJ205" s="18" t="n"/>
      <c r="AK205" s="18" t="n"/>
      <c r="AL205" s="18" t="n"/>
    </row>
    <row r="206" ht="12.75" customHeight="1" s="15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  <c r="AA206" s="18" t="n"/>
      <c r="AB206" s="18" t="n"/>
      <c r="AC206" s="18" t="n"/>
      <c r="AD206" s="18" t="n"/>
      <c r="AE206" s="18" t="n"/>
      <c r="AF206" s="18" t="n"/>
      <c r="AG206" s="18" t="n"/>
      <c r="AH206" s="18" t="n"/>
      <c r="AI206" s="18" t="n"/>
      <c r="AJ206" s="18" t="n"/>
      <c r="AK206" s="18" t="n"/>
      <c r="AL206" s="18" t="n"/>
    </row>
    <row r="207" ht="12.75" customHeight="1" s="156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  <c r="AA207" s="18" t="n"/>
      <c r="AB207" s="18" t="n"/>
      <c r="AC207" s="18" t="n"/>
      <c r="AD207" s="18" t="n"/>
      <c r="AE207" s="18" t="n"/>
      <c r="AF207" s="18" t="n"/>
      <c r="AG207" s="18" t="n"/>
      <c r="AH207" s="18" t="n"/>
      <c r="AI207" s="18" t="n"/>
      <c r="AJ207" s="18" t="n"/>
      <c r="AK207" s="18" t="n"/>
      <c r="AL207" s="18" t="n"/>
    </row>
    <row r="208" ht="12.75" customHeight="1" s="156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  <c r="AA208" s="18" t="n"/>
      <c r="AB208" s="18" t="n"/>
      <c r="AC208" s="18" t="n"/>
      <c r="AD208" s="18" t="n"/>
      <c r="AE208" s="18" t="n"/>
      <c r="AF208" s="18" t="n"/>
      <c r="AG208" s="18" t="n"/>
      <c r="AH208" s="18" t="n"/>
      <c r="AI208" s="18" t="n"/>
      <c r="AJ208" s="18" t="n"/>
      <c r="AK208" s="18" t="n"/>
      <c r="AL208" s="18" t="n"/>
    </row>
    <row r="209" ht="12.75" customHeight="1" s="156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  <c r="AA209" s="18" t="n"/>
      <c r="AB209" s="18" t="n"/>
      <c r="AC209" s="18" t="n"/>
      <c r="AD209" s="18" t="n"/>
      <c r="AE209" s="18" t="n"/>
      <c r="AF209" s="18" t="n"/>
      <c r="AG209" s="18" t="n"/>
      <c r="AH209" s="18" t="n"/>
      <c r="AI209" s="18" t="n"/>
      <c r="AJ209" s="18" t="n"/>
      <c r="AK209" s="18" t="n"/>
      <c r="AL209" s="18" t="n"/>
    </row>
    <row r="210" ht="12.75" customHeight="1" s="156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  <c r="AA210" s="18" t="n"/>
      <c r="AB210" s="18" t="n"/>
      <c r="AC210" s="18" t="n"/>
      <c r="AD210" s="18" t="n"/>
      <c r="AE210" s="18" t="n"/>
      <c r="AF210" s="18" t="n"/>
      <c r="AG210" s="18" t="n"/>
      <c r="AH210" s="18" t="n"/>
      <c r="AI210" s="18" t="n"/>
      <c r="AJ210" s="18" t="n"/>
      <c r="AK210" s="18" t="n"/>
      <c r="AL210" s="18" t="n"/>
    </row>
    <row r="211" ht="12.75" customHeight="1" s="156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  <c r="AA211" s="18" t="n"/>
      <c r="AB211" s="18" t="n"/>
      <c r="AC211" s="18" t="n"/>
      <c r="AD211" s="18" t="n"/>
      <c r="AE211" s="18" t="n"/>
      <c r="AF211" s="18" t="n"/>
      <c r="AG211" s="18" t="n"/>
      <c r="AH211" s="18" t="n"/>
      <c r="AI211" s="18" t="n"/>
      <c r="AJ211" s="18" t="n"/>
      <c r="AK211" s="18" t="n"/>
      <c r="AL211" s="18" t="n"/>
    </row>
    <row r="212" ht="12.75" customHeight="1" s="156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  <c r="AA212" s="18" t="n"/>
      <c r="AB212" s="18" t="n"/>
      <c r="AC212" s="18" t="n"/>
      <c r="AD212" s="18" t="n"/>
      <c r="AE212" s="18" t="n"/>
      <c r="AF212" s="18" t="n"/>
      <c r="AG212" s="18" t="n"/>
      <c r="AH212" s="18" t="n"/>
      <c r="AI212" s="18" t="n"/>
      <c r="AJ212" s="18" t="n"/>
      <c r="AK212" s="18" t="n"/>
      <c r="AL212" s="18" t="n"/>
    </row>
    <row r="213" ht="12.75" customHeight="1" s="156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  <c r="AA213" s="18" t="n"/>
      <c r="AB213" s="18" t="n"/>
      <c r="AC213" s="18" t="n"/>
      <c r="AD213" s="18" t="n"/>
      <c r="AE213" s="18" t="n"/>
      <c r="AF213" s="18" t="n"/>
      <c r="AG213" s="18" t="n"/>
      <c r="AH213" s="18" t="n"/>
      <c r="AI213" s="18" t="n"/>
      <c r="AJ213" s="18" t="n"/>
      <c r="AK213" s="18" t="n"/>
      <c r="AL213" s="18" t="n"/>
    </row>
    <row r="214" ht="12.75" customHeight="1" s="156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  <c r="AA214" s="18" t="n"/>
      <c r="AB214" s="18" t="n"/>
      <c r="AC214" s="18" t="n"/>
      <c r="AD214" s="18" t="n"/>
      <c r="AE214" s="18" t="n"/>
      <c r="AF214" s="18" t="n"/>
      <c r="AG214" s="18" t="n"/>
      <c r="AH214" s="18" t="n"/>
      <c r="AI214" s="18" t="n"/>
      <c r="AJ214" s="18" t="n"/>
      <c r="AK214" s="18" t="n"/>
      <c r="AL214" s="18" t="n"/>
    </row>
    <row r="215" ht="12.75" customHeight="1" s="156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  <c r="AA215" s="18" t="n"/>
      <c r="AB215" s="18" t="n"/>
      <c r="AC215" s="18" t="n"/>
      <c r="AD215" s="18" t="n"/>
      <c r="AE215" s="18" t="n"/>
      <c r="AF215" s="18" t="n"/>
      <c r="AG215" s="18" t="n"/>
      <c r="AH215" s="18" t="n"/>
      <c r="AI215" s="18" t="n"/>
      <c r="AJ215" s="18" t="n"/>
      <c r="AK215" s="18" t="n"/>
      <c r="AL215" s="18" t="n"/>
    </row>
    <row r="216" ht="12.75" customHeight="1" s="15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  <c r="AA216" s="18" t="n"/>
      <c r="AB216" s="18" t="n"/>
      <c r="AC216" s="18" t="n"/>
      <c r="AD216" s="18" t="n"/>
      <c r="AE216" s="18" t="n"/>
      <c r="AF216" s="18" t="n"/>
      <c r="AG216" s="18" t="n"/>
      <c r="AH216" s="18" t="n"/>
      <c r="AI216" s="18" t="n"/>
      <c r="AJ216" s="18" t="n"/>
      <c r="AK216" s="18" t="n"/>
      <c r="AL216" s="18" t="n"/>
    </row>
    <row r="217" ht="12.75" customHeight="1" s="156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  <c r="AA217" s="18" t="n"/>
      <c r="AB217" s="18" t="n"/>
      <c r="AC217" s="18" t="n"/>
      <c r="AD217" s="18" t="n"/>
      <c r="AE217" s="18" t="n"/>
      <c r="AF217" s="18" t="n"/>
      <c r="AG217" s="18" t="n"/>
      <c r="AH217" s="18" t="n"/>
      <c r="AI217" s="18" t="n"/>
      <c r="AJ217" s="18" t="n"/>
      <c r="AK217" s="18" t="n"/>
      <c r="AL217" s="18" t="n"/>
    </row>
    <row r="218" ht="12.75" customHeight="1" s="156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  <c r="AA218" s="18" t="n"/>
      <c r="AB218" s="18" t="n"/>
      <c r="AC218" s="18" t="n"/>
      <c r="AD218" s="18" t="n"/>
      <c r="AE218" s="18" t="n"/>
      <c r="AF218" s="18" t="n"/>
      <c r="AG218" s="18" t="n"/>
      <c r="AH218" s="18" t="n"/>
      <c r="AI218" s="18" t="n"/>
      <c r="AJ218" s="18" t="n"/>
      <c r="AK218" s="18" t="n"/>
      <c r="AL218" s="18" t="n"/>
    </row>
    <row r="219" ht="12.75" customHeight="1" s="156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  <c r="AA219" s="18" t="n"/>
      <c r="AB219" s="18" t="n"/>
      <c r="AC219" s="18" t="n"/>
      <c r="AD219" s="18" t="n"/>
      <c r="AE219" s="18" t="n"/>
      <c r="AF219" s="18" t="n"/>
      <c r="AG219" s="18" t="n"/>
      <c r="AH219" s="18" t="n"/>
      <c r="AI219" s="18" t="n"/>
      <c r="AJ219" s="18" t="n"/>
      <c r="AK219" s="18" t="n"/>
      <c r="AL219" s="18" t="n"/>
    </row>
    <row r="220" ht="12.75" customHeight="1" s="156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  <c r="AA220" s="18" t="n"/>
      <c r="AB220" s="18" t="n"/>
      <c r="AC220" s="18" t="n"/>
      <c r="AD220" s="18" t="n"/>
      <c r="AE220" s="18" t="n"/>
      <c r="AF220" s="18" t="n"/>
      <c r="AG220" s="18" t="n"/>
      <c r="AH220" s="18" t="n"/>
      <c r="AI220" s="18" t="n"/>
      <c r="AJ220" s="18" t="n"/>
      <c r="AK220" s="18" t="n"/>
      <c r="AL220" s="18" t="n"/>
    </row>
    <row r="221" ht="12.75" customHeight="1" s="156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  <c r="AA221" s="18" t="n"/>
      <c r="AB221" s="18" t="n"/>
      <c r="AC221" s="18" t="n"/>
      <c r="AD221" s="18" t="n"/>
      <c r="AE221" s="18" t="n"/>
      <c r="AF221" s="18" t="n"/>
      <c r="AG221" s="18" t="n"/>
      <c r="AH221" s="18" t="n"/>
      <c r="AI221" s="18" t="n"/>
      <c r="AJ221" s="18" t="n"/>
      <c r="AK221" s="18" t="n"/>
      <c r="AL221" s="18" t="n"/>
    </row>
    <row r="222" ht="12.75" customHeight="1" s="156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  <c r="AA222" s="18" t="n"/>
      <c r="AB222" s="18" t="n"/>
      <c r="AC222" s="18" t="n"/>
      <c r="AD222" s="18" t="n"/>
      <c r="AE222" s="18" t="n"/>
      <c r="AF222" s="18" t="n"/>
      <c r="AG222" s="18" t="n"/>
      <c r="AH222" s="18" t="n"/>
      <c r="AI222" s="18" t="n"/>
      <c r="AJ222" s="18" t="n"/>
      <c r="AK222" s="18" t="n"/>
      <c r="AL222" s="18" t="n"/>
    </row>
    <row r="223" ht="12.75" customHeight="1" s="156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  <c r="AA223" s="18" t="n"/>
      <c r="AB223" s="18" t="n"/>
      <c r="AC223" s="18" t="n"/>
      <c r="AD223" s="18" t="n"/>
      <c r="AE223" s="18" t="n"/>
      <c r="AF223" s="18" t="n"/>
      <c r="AG223" s="18" t="n"/>
      <c r="AH223" s="18" t="n"/>
      <c r="AI223" s="18" t="n"/>
      <c r="AJ223" s="18" t="n"/>
      <c r="AK223" s="18" t="n"/>
      <c r="AL223" s="18" t="n"/>
    </row>
    <row r="224" ht="12.75" customHeight="1" s="156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  <c r="AA224" s="18" t="n"/>
      <c r="AB224" s="18" t="n"/>
      <c r="AC224" s="18" t="n"/>
      <c r="AD224" s="18" t="n"/>
      <c r="AE224" s="18" t="n"/>
      <c r="AF224" s="18" t="n"/>
      <c r="AG224" s="18" t="n"/>
      <c r="AH224" s="18" t="n"/>
      <c r="AI224" s="18" t="n"/>
      <c r="AJ224" s="18" t="n"/>
      <c r="AK224" s="18" t="n"/>
      <c r="AL224" s="18" t="n"/>
    </row>
    <row r="225" ht="12.75" customHeight="1" s="156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  <c r="AA225" s="18" t="n"/>
      <c r="AB225" s="18" t="n"/>
      <c r="AC225" s="18" t="n"/>
      <c r="AD225" s="18" t="n"/>
      <c r="AE225" s="18" t="n"/>
      <c r="AF225" s="18" t="n"/>
      <c r="AG225" s="18" t="n"/>
      <c r="AH225" s="18" t="n"/>
      <c r="AI225" s="18" t="n"/>
      <c r="AJ225" s="18" t="n"/>
      <c r="AK225" s="18" t="n"/>
      <c r="AL225" s="18" t="n"/>
    </row>
    <row r="226" ht="12.75" customHeight="1" s="15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  <c r="AA226" s="18" t="n"/>
      <c r="AB226" s="18" t="n"/>
      <c r="AC226" s="18" t="n"/>
      <c r="AD226" s="18" t="n"/>
      <c r="AE226" s="18" t="n"/>
      <c r="AF226" s="18" t="n"/>
      <c r="AG226" s="18" t="n"/>
      <c r="AH226" s="18" t="n"/>
      <c r="AI226" s="18" t="n"/>
      <c r="AJ226" s="18" t="n"/>
      <c r="AK226" s="18" t="n"/>
      <c r="AL226" s="18" t="n"/>
    </row>
    <row r="227" ht="12.75" customHeight="1" s="156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  <c r="AA227" s="18" t="n"/>
      <c r="AB227" s="18" t="n"/>
      <c r="AC227" s="18" t="n"/>
      <c r="AD227" s="18" t="n"/>
      <c r="AE227" s="18" t="n"/>
      <c r="AF227" s="18" t="n"/>
      <c r="AG227" s="18" t="n"/>
      <c r="AH227" s="18" t="n"/>
      <c r="AI227" s="18" t="n"/>
      <c r="AJ227" s="18" t="n"/>
      <c r="AK227" s="18" t="n"/>
      <c r="AL227" s="18" t="n"/>
    </row>
    <row r="228" ht="12.75" customHeight="1" s="156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  <c r="AA228" s="18" t="n"/>
      <c r="AB228" s="18" t="n"/>
      <c r="AC228" s="18" t="n"/>
      <c r="AD228" s="18" t="n"/>
      <c r="AE228" s="18" t="n"/>
      <c r="AF228" s="18" t="n"/>
      <c r="AG228" s="18" t="n"/>
      <c r="AH228" s="18" t="n"/>
      <c r="AI228" s="18" t="n"/>
      <c r="AJ228" s="18" t="n"/>
      <c r="AK228" s="18" t="n"/>
      <c r="AL228" s="18" t="n"/>
    </row>
    <row r="229" ht="12.75" customHeight="1" s="156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  <c r="AA229" s="18" t="n"/>
      <c r="AB229" s="18" t="n"/>
      <c r="AC229" s="18" t="n"/>
      <c r="AD229" s="18" t="n"/>
      <c r="AE229" s="18" t="n"/>
      <c r="AF229" s="18" t="n"/>
      <c r="AG229" s="18" t="n"/>
      <c r="AH229" s="18" t="n"/>
      <c r="AI229" s="18" t="n"/>
      <c r="AJ229" s="18" t="n"/>
      <c r="AK229" s="18" t="n"/>
      <c r="AL229" s="18" t="n"/>
    </row>
    <row r="230" ht="12.75" customHeight="1" s="156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  <c r="AA230" s="18" t="n"/>
      <c r="AB230" s="18" t="n"/>
      <c r="AC230" s="18" t="n"/>
      <c r="AD230" s="18" t="n"/>
      <c r="AE230" s="18" t="n"/>
      <c r="AF230" s="18" t="n"/>
      <c r="AG230" s="18" t="n"/>
      <c r="AH230" s="18" t="n"/>
      <c r="AI230" s="18" t="n"/>
      <c r="AJ230" s="18" t="n"/>
      <c r="AK230" s="18" t="n"/>
      <c r="AL230" s="18" t="n"/>
    </row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2">
    <mergeCell ref="D23:J23"/>
    <mergeCell ref="K4:Q4"/>
  </mergeCells>
  <pageMargins left="0.78740157480315" right="0.78740157480315" top="0.78740157480315" bottom="0.78740157480315" header="0" footer="0"/>
  <pageSetup orientation="landscape"/>
  <headerFooter>
    <oddHeader/>
    <oddFooter>&amp;LCEA Confidential&amp;C&amp;A&amp;R&amp;D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6"/>
  <sheetViews>
    <sheetView showGridLines="0" topLeftCell="A4" workbookViewId="0">
      <selection activeCell="A1" sqref="A1"/>
    </sheetView>
  </sheetViews>
  <sheetFormatPr baseColWidth="10" defaultColWidth="14.5" defaultRowHeight="15" customHeight="1"/>
  <cols>
    <col width="76.83203125" customWidth="1" style="156" min="1" max="1"/>
    <col width="10.6640625" customWidth="1" style="156" min="2" max="2"/>
    <col width="8.6640625" customWidth="1" style="156" min="3" max="3"/>
    <col width="11" customWidth="1" style="156" min="4" max="4"/>
    <col width="11.83203125" customWidth="1" style="156" min="5" max="5"/>
    <col width="9.1640625" customWidth="1" style="156" min="6" max="17"/>
    <col width="11.1640625" customWidth="1" style="156" min="18" max="18"/>
    <col width="11.5" customWidth="1" style="156" min="19" max="21"/>
  </cols>
  <sheetData>
    <row r="1" ht="20" customHeight="1" s="156">
      <c r="A1" s="17">
        <f>'Est. Res. Proy.'!A2</f>
        <v/>
      </c>
      <c r="B1" s="15" t="inlineStr">
        <is>
          <t> </t>
        </is>
      </c>
      <c r="C1" s="146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5" t="n"/>
    </row>
    <row r="2" ht="18" customHeight="1" s="156">
      <c r="A2" s="54" t="inlineStr">
        <is>
          <t xml:space="preserve">Inversiones  </t>
        </is>
      </c>
      <c r="B2" s="15" t="inlineStr">
        <is>
          <t> </t>
        </is>
      </c>
      <c r="C2" s="18" t="n"/>
      <c r="D2" s="22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5" t="n"/>
    </row>
    <row r="3" ht="12.75" customHeight="1" s="156">
      <c r="A3" s="54" t="n"/>
      <c r="B3" s="18" t="n"/>
      <c r="C3" s="18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15" t="n"/>
    </row>
    <row r="4" ht="12.75" customHeight="1" s="156">
      <c r="A4" s="147" t="inlineStr">
        <is>
          <t>Período</t>
        </is>
      </c>
      <c r="B4" s="224" t="n"/>
      <c r="C4" s="148" t="n"/>
      <c r="D4" s="225" t="inlineStr">
        <is>
          <t>Startup</t>
        </is>
      </c>
      <c r="E4" s="18" t="n"/>
      <c r="F4" s="18" t="n"/>
      <c r="G4" s="18" t="n"/>
    </row>
    <row r="5" ht="12.75" customHeight="1" s="156">
      <c r="A5" s="208" t="inlineStr">
        <is>
          <t>Concepto</t>
        </is>
      </c>
      <c r="B5" s="76" t="inlineStr">
        <is>
          <t>Costo</t>
        </is>
      </c>
      <c r="C5" s="226" t="inlineStr">
        <is>
          <t>Cantidad</t>
        </is>
      </c>
      <c r="D5" s="149" t="n"/>
      <c r="E5" s="18" t="n"/>
      <c r="F5" s="18" t="n"/>
      <c r="G5" s="18" t="n"/>
    </row>
    <row r="6" ht="12.75" customHeight="1" s="156">
      <c r="A6" s="155" t="inlineStr">
        <is>
          <t>Escritorios</t>
        </is>
      </c>
      <c r="B6" s="79" t="n">
        <v>120000</v>
      </c>
      <c r="C6" s="150" t="n">
        <v>4</v>
      </c>
      <c r="D6" s="79">
        <f>B6*C6</f>
        <v/>
      </c>
      <c r="E6" s="18" t="n"/>
      <c r="F6" s="18" t="n"/>
      <c r="G6" s="18" t="n"/>
    </row>
    <row r="7" ht="12.75" customHeight="1" s="156">
      <c r="A7" s="155" t="inlineStr">
        <is>
          <t>Sillas</t>
        </is>
      </c>
      <c r="B7" s="79" t="n">
        <v>90000</v>
      </c>
      <c r="C7" s="150" t="n">
        <v>4</v>
      </c>
      <c r="D7" s="79">
        <f>B7*C7</f>
        <v/>
      </c>
      <c r="E7" s="18" t="n"/>
      <c r="F7" s="18" t="n"/>
      <c r="G7" s="18" t="n"/>
    </row>
    <row r="8" ht="12.75" customHeight="1" s="156">
      <c r="A8" s="155" t="inlineStr">
        <is>
          <t>Router / Networking oficina</t>
        </is>
      </c>
      <c r="B8" s="79" t="n">
        <v>60000</v>
      </c>
      <c r="C8" s="150" t="n">
        <v>1</v>
      </c>
      <c r="D8" s="79">
        <f>B8*C8</f>
        <v/>
      </c>
      <c r="E8" s="18" t="n"/>
      <c r="F8" s="18" t="n"/>
      <c r="G8" s="18" t="n"/>
    </row>
    <row r="9" ht="12.75" customHeight="1" s="156">
      <c r="A9" s="155" t="inlineStr">
        <is>
          <t>Telefonos IP</t>
        </is>
      </c>
      <c r="B9" s="79" t="n">
        <v>2000</v>
      </c>
      <c r="C9" s="150" t="n">
        <v>0</v>
      </c>
      <c r="D9" s="79">
        <f>B9*C9</f>
        <v/>
      </c>
      <c r="E9" s="18" t="n"/>
      <c r="F9" s="18" t="n"/>
      <c r="G9" s="18" t="n"/>
    </row>
    <row r="10" ht="12.75" customHeight="1" s="156">
      <c r="A10" s="101" t="inlineStr">
        <is>
          <t>Armarios</t>
        </is>
      </c>
      <c r="B10" s="79" t="n">
        <v>80000</v>
      </c>
      <c r="C10" s="150" t="n">
        <v>2</v>
      </c>
      <c r="D10" s="79">
        <f>B10*C10</f>
        <v/>
      </c>
      <c r="E10" s="18" t="n"/>
      <c r="F10" s="18" t="n"/>
      <c r="G10" s="18" t="n"/>
    </row>
    <row r="11" ht="12.75" customHeight="1" s="156">
      <c r="A11" s="287" t="inlineStr">
        <is>
          <t>Subtotal Inversiones Muebles y Utiles</t>
        </is>
      </c>
      <c r="B11" s="288" t="n"/>
      <c r="C11" s="289" t="n"/>
      <c r="D11" s="151">
        <f>SUM(D6:D10)</f>
        <v/>
      </c>
      <c r="E11" s="18" t="n"/>
      <c r="F11" s="18" t="n"/>
      <c r="G11" s="18" t="n"/>
    </row>
    <row r="12" ht="12.75" customHeight="1" s="156">
      <c r="A12" s="80" t="inlineStr">
        <is>
          <t>Notebooks de desarrollo (5)</t>
        </is>
      </c>
      <c r="B12" s="83" t="n">
        <v>1200000</v>
      </c>
      <c r="C12" s="150" t="n">
        <v>5</v>
      </c>
      <c r="D12" s="79">
        <f>B12*C12</f>
        <v/>
      </c>
      <c r="E12" s="18" t="n"/>
      <c r="F12" s="18" t="n"/>
      <c r="G12" s="18" t="n"/>
    </row>
    <row r="13" ht="12.75" customHeight="1" s="156">
      <c r="A13" s="155" t="inlineStr">
        <is>
          <t>Servidor / NAS de desarrollo</t>
        </is>
      </c>
      <c r="B13" s="79" t="n">
        <v>700000</v>
      </c>
      <c r="C13" s="150" t="n">
        <v>1</v>
      </c>
      <c r="D13" s="79">
        <f>B13*C13</f>
        <v/>
      </c>
      <c r="E13" s="18" t="n"/>
      <c r="F13" s="18" t="n"/>
      <c r="G13" s="18" t="n"/>
    </row>
    <row r="14" ht="12.75" customHeight="1" s="156">
      <c r="A14" s="155" t="inlineStr">
        <is>
          <t>Rack</t>
        </is>
      </c>
      <c r="B14" s="79" t="n">
        <v>7000</v>
      </c>
      <c r="C14" s="150" t="n">
        <v>0</v>
      </c>
      <c r="D14" s="79">
        <f>B14*C14</f>
        <v/>
      </c>
      <c r="E14" s="18" t="n"/>
      <c r="F14" s="18" t="n"/>
      <c r="G14" s="18" t="n"/>
    </row>
    <row r="15" ht="12.75" customHeight="1" s="156">
      <c r="A15" s="155" t="inlineStr">
        <is>
          <t>Impresora laser</t>
        </is>
      </c>
      <c r="B15" s="79" t="n">
        <v>6000</v>
      </c>
      <c r="C15" s="150" t="n">
        <v>0</v>
      </c>
      <c r="D15" s="79">
        <f>B15*C15</f>
        <v/>
      </c>
      <c r="E15" s="18" t="n"/>
      <c r="F15" s="18" t="n"/>
      <c r="G15" s="18" t="n"/>
    </row>
    <row r="16" ht="12.75" customHeight="1" s="156">
      <c r="A16" s="155" t="inlineStr">
        <is>
          <t>Router / switching</t>
        </is>
      </c>
      <c r="B16" s="79" t="n">
        <v>60000</v>
      </c>
      <c r="C16" s="150" t="n">
        <v>1</v>
      </c>
      <c r="D16" s="79">
        <f>B16*C16</f>
        <v/>
      </c>
      <c r="E16" s="18" t="n"/>
      <c r="F16" s="18" t="n"/>
      <c r="G16" s="18" t="n"/>
    </row>
    <row r="17" ht="12.75" customHeight="1" s="156">
      <c r="A17" s="155" t="inlineStr">
        <is>
          <t>Switch 24 bocas</t>
        </is>
      </c>
      <c r="B17" s="79" t="n">
        <v>3000</v>
      </c>
      <c r="C17" s="150" t="n">
        <v>0</v>
      </c>
      <c r="D17" s="79">
        <f>B17*C17</f>
        <v/>
      </c>
      <c r="E17" s="18" t="n"/>
      <c r="F17" s="18" t="n"/>
      <c r="G17" s="18" t="n"/>
    </row>
    <row r="18" ht="12.75" customHeight="1" s="156">
      <c r="A18" s="155" t="inlineStr">
        <is>
          <t>Impresora 3D + banco de prototipado MVP (placas, sensores de prueba)</t>
        </is>
      </c>
      <c r="B18" s="79" t="n">
        <v>1500000</v>
      </c>
      <c r="C18" s="150" t="n">
        <v>1</v>
      </c>
      <c r="D18" s="79" t="n"/>
      <c r="E18" s="18" t="n"/>
      <c r="F18" s="18" t="n"/>
      <c r="G18" s="18" t="n"/>
    </row>
    <row r="19" ht="12.75" customHeight="1" s="156">
      <c r="A19" s="155" t="n"/>
      <c r="B19" s="79" t="n"/>
      <c r="C19" s="150" t="n"/>
      <c r="D19" s="152" t="n"/>
      <c r="E19" s="18" t="n"/>
      <c r="F19" s="18" t="n"/>
      <c r="G19" s="18" t="n"/>
    </row>
    <row r="20" ht="12.75" customHeight="1" s="156">
      <c r="A20" s="287" t="inlineStr">
        <is>
          <t>Subtotal Equipamiento</t>
        </is>
      </c>
      <c r="B20" s="288" t="n"/>
      <c r="C20" s="289" t="n"/>
      <c r="D20" s="151">
        <f>SUM(D12:D19)</f>
        <v/>
      </c>
      <c r="E20" s="18" t="n"/>
      <c r="F20" s="18" t="n"/>
      <c r="G20" s="18" t="n"/>
    </row>
    <row r="21" ht="12.75" customHeight="1" s="156">
      <c r="A21" s="287" t="inlineStr">
        <is>
          <t>Total Inversiones</t>
        </is>
      </c>
      <c r="B21" s="288" t="n"/>
      <c r="C21" s="289" t="n"/>
      <c r="D21" s="151">
        <f>SUM(D20,D11)</f>
        <v/>
      </c>
      <c r="E21" s="18" t="n"/>
      <c r="F21" s="18" t="n"/>
      <c r="G21" s="18" t="n"/>
    </row>
    <row r="22" ht="12.75" customHeight="1" s="156">
      <c r="A22" s="53" t="n"/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5" t="n"/>
      <c r="S22" s="18" t="n"/>
      <c r="T22" s="18" t="n"/>
      <c r="U22" s="18" t="n"/>
    </row>
    <row r="23" ht="12.75" customHeight="1" s="156">
      <c r="A23" s="53" t="n"/>
      <c r="B23" s="53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5" t="n"/>
      <c r="S23" s="18" t="n"/>
      <c r="T23" s="18" t="n"/>
      <c r="U23" s="18" t="n"/>
    </row>
    <row r="24" ht="12.75" customHeight="1" s="156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5" t="n"/>
      <c r="S24" s="18" t="n"/>
      <c r="T24" s="18" t="n"/>
      <c r="U24" s="18" t="n"/>
    </row>
    <row r="25" ht="15.75" customHeight="1" s="156">
      <c r="A25" s="54" t="inlineStr">
        <is>
          <t xml:space="preserve">Equipamiento Producto </t>
        </is>
      </c>
      <c r="R25" s="15" t="n"/>
    </row>
    <row r="26" ht="12.75" customHeight="1" s="156">
      <c r="R26" s="15" t="n"/>
    </row>
    <row r="27" ht="12.75" customHeight="1" s="156">
      <c r="A27" s="147" t="inlineStr">
        <is>
          <t>Período</t>
        </is>
      </c>
      <c r="B27" s="224" t="n"/>
      <c r="C27" s="148" t="n"/>
      <c r="D27" s="225" t="inlineStr">
        <is>
          <t>Startup</t>
        </is>
      </c>
      <c r="R27" s="15" t="n"/>
    </row>
    <row r="28" ht="12.75" customHeight="1" s="156">
      <c r="A28" s="208" t="inlineStr">
        <is>
          <t>Concepto</t>
        </is>
      </c>
      <c r="B28" s="76" t="inlineStr">
        <is>
          <t>Costo</t>
        </is>
      </c>
      <c r="C28" s="226" t="inlineStr">
        <is>
          <t>Cantidad</t>
        </is>
      </c>
      <c r="D28" s="149" t="n"/>
      <c r="R28" s="15" t="n"/>
    </row>
    <row r="29" ht="12.75" customHeight="1" s="156">
      <c r="A29" s="80" t="inlineStr">
        <is>
          <t>Sistema Gantry de vision (riel + motores + estructura)</t>
        </is>
      </c>
      <c r="B29" s="83" t="n">
        <v>2800000</v>
      </c>
      <c r="C29" s="153" t="n">
        <v>1</v>
      </c>
      <c r="D29" s="79">
        <f>PRODUCT(C29,B29)</f>
        <v/>
      </c>
      <c r="R29" s="15" t="n"/>
    </row>
    <row r="30" ht="12.75" customHeight="1" s="156">
      <c r="A30" s="80" t="inlineStr">
        <is>
          <t>Conjunto microaspersor + solenoide por sector</t>
        </is>
      </c>
      <c r="B30" s="83" t="n">
        <v>12000</v>
      </c>
      <c r="C30" s="153" t="n">
        <v>1000</v>
      </c>
      <c r="D30" s="79">
        <f>PRODUCT(C30,B30)</f>
        <v/>
      </c>
      <c r="R30" s="15" t="n"/>
    </row>
    <row r="31" ht="12.75" customHeight="1" s="156">
      <c r="A31" s="80" t="inlineStr">
        <is>
          <t>Nodo sensor testigo (ESP32 + humedad/EC/pH/temp/HR/luz + gabinete IP65)</t>
        </is>
      </c>
      <c r="B31" s="83" t="n">
        <v>190000</v>
      </c>
      <c r="C31" s="153" t="n">
        <v>10</v>
      </c>
      <c r="D31" s="79">
        <f>PRODUCT(C31,B31)</f>
        <v/>
      </c>
      <c r="R31" s="15" t="n"/>
    </row>
    <row r="32" ht="12.75" customHeight="1" s="156">
      <c r="A32" s="128" t="inlineStr">
        <is>
          <t>Electrovalvula maestra (macro-zona)</t>
        </is>
      </c>
      <c r="B32" s="83" t="n">
        <v>48000</v>
      </c>
      <c r="C32" s="153" t="n">
        <v>10</v>
      </c>
      <c r="D32" s="79">
        <f>PRODUCT(C32,B32)</f>
        <v/>
      </c>
      <c r="R32" s="15" t="n"/>
    </row>
    <row r="33" ht="12.75" customHeight="1" s="156">
      <c r="A33" t="inlineStr">
        <is>
          <t>Bomba peristaltica de dosificacion</t>
        </is>
      </c>
      <c r="B33" s="83" t="n">
        <v>65000</v>
      </c>
      <c r="C33" s="153" t="n">
        <v>10</v>
      </c>
      <c r="D33" s="79">
        <f>PRODUCT(C33,B33)</f>
        <v/>
      </c>
      <c r="R33" s="15" t="n"/>
    </row>
    <row r="34" ht="12.75" customHeight="1" s="156">
      <c r="A34" s="155" t="inlineStr">
        <is>
          <t>Modulo de vision + computo edge (Jetson + camara)</t>
        </is>
      </c>
      <c r="B34" s="83" t="n">
        <v>380000</v>
      </c>
      <c r="C34" s="153" t="n">
        <v>1</v>
      </c>
      <c r="D34" s="79">
        <f>PRODUCT(C34,B34)</f>
        <v/>
      </c>
      <c r="R34" s="15" t="n"/>
    </row>
    <row r="35" ht="12.75" customHeight="1" s="156">
      <c r="A35" s="155" t="inlineStr">
        <is>
          <t>Actuador motorizado de mediasombra</t>
        </is>
      </c>
      <c r="B35" s="83" t="n">
        <v>130000</v>
      </c>
      <c r="C35" s="153" t="n">
        <v>10</v>
      </c>
      <c r="D35" s="79">
        <f>PRODUCT(C35,B35)</f>
        <v/>
      </c>
      <c r="R35" s="15" t="n"/>
    </row>
    <row r="36" ht="12.75" customHeight="1" s="156">
      <c r="A36" s="80" t="inlineStr">
        <is>
          <t>Gateway / controlador central</t>
        </is>
      </c>
      <c r="B36" s="83" t="n">
        <v>450000</v>
      </c>
      <c r="C36" s="153" t="n">
        <v>1</v>
      </c>
      <c r="D36" s="79">
        <f>PRODUCT(C36,B36)</f>
        <v/>
      </c>
      <c r="R36" s="15" t="n"/>
    </row>
    <row r="37" ht="12.75" customHeight="1" s="156">
      <c r="A37" s="155" t="inlineStr">
        <is>
          <t>Kit energia solar + baterias (respaldo autonomo)</t>
        </is>
      </c>
      <c r="B37" s="83" t="n">
        <v>950000</v>
      </c>
      <c r="C37" s="153" t="n">
        <v>1</v>
      </c>
      <c r="D37" s="79">
        <f>PRODUCT(C37,B37)</f>
        <v/>
      </c>
      <c r="R37" s="15" t="n"/>
    </row>
    <row r="38" ht="12.75" customHeight="1" s="156">
      <c r="A38" s="155" t="inlineStr">
        <is>
          <t>Kit Starlink (antena + instalacion)</t>
        </is>
      </c>
      <c r="B38" s="83" t="n">
        <v>375000</v>
      </c>
      <c r="C38" s="153" t="n">
        <v>1</v>
      </c>
      <c r="D38" s="79">
        <f>PRODUCT(C38,B38)</f>
        <v/>
      </c>
      <c r="R38" s="15" t="n"/>
    </row>
    <row r="39" ht="12.75" customHeight="1" s="156">
      <c r="A39" t="inlineStr">
        <is>
          <t>Tablero electrico + cableado + protecciones</t>
        </is>
      </c>
      <c r="B39" s="79" t="n">
        <v>700000</v>
      </c>
      <c r="C39" s="150" t="n">
        <v>1</v>
      </c>
      <c r="D39" s="79">
        <f>PRODUCT(C39,B39)</f>
        <v/>
      </c>
      <c r="R39" s="15" t="n"/>
    </row>
    <row r="40" ht="12.75" customHeight="1" s="156">
      <c r="A40" s="155" t="inlineStr">
        <is>
          <t>Hidraulica (canos, filtros, conectores, tanques)</t>
        </is>
      </c>
      <c r="B40" s="79" t="n">
        <v>1100000</v>
      </c>
      <c r="C40" s="150" t="n">
        <v>1</v>
      </c>
      <c r="D40" s="79">
        <f>PRODUCT(C40,B40)</f>
        <v/>
      </c>
      <c r="R40" s="15" t="n"/>
    </row>
    <row r="41" ht="12.75" customHeight="1" s="156">
      <c r="A41" s="155" t="inlineStr">
        <is>
          <t>Consumibles e imprevistos de instalacion</t>
        </is>
      </c>
      <c r="B41" s="79" t="n">
        <v>700000</v>
      </c>
      <c r="C41" s="150" t="n">
        <v>1</v>
      </c>
      <c r="D41" s="79">
        <f>PRODUCT(C41,B41)</f>
        <v/>
      </c>
      <c r="R41" s="15" t="n"/>
    </row>
    <row r="42" ht="12.75" customHeight="1" s="156">
      <c r="A42" s="155" t="n"/>
      <c r="B42" s="79" t="n"/>
      <c r="C42" s="150" t="n"/>
      <c r="D42" s="79">
        <f>PRODUCT(C42,B42)</f>
        <v/>
      </c>
      <c r="R42" s="15" t="n"/>
    </row>
    <row r="43" ht="12.75" customHeight="1" s="156">
      <c r="A43" s="155" t="n"/>
      <c r="B43" s="79" t="n"/>
      <c r="C43" s="150" t="n"/>
      <c r="D43" s="79" t="n"/>
      <c r="R43" s="15" t="n"/>
    </row>
    <row r="44" ht="12.75" customHeight="1" s="156">
      <c r="A44" s="287" t="inlineStr">
        <is>
          <t>Total Equipamiento Producto X</t>
        </is>
      </c>
      <c r="B44" s="288" t="n"/>
      <c r="C44" s="289" t="n"/>
      <c r="D44" s="151">
        <f>SUM(D29:D42)</f>
        <v/>
      </c>
      <c r="R44" s="15" t="n"/>
    </row>
    <row r="45" ht="12.75" customHeight="1" s="156">
      <c r="R45" s="15" t="n"/>
    </row>
    <row r="46" ht="12.75" customHeight="1" s="156">
      <c r="R46" s="15" t="n"/>
    </row>
    <row r="47" ht="12.75" customHeight="1" s="156">
      <c r="R47" s="15" t="n"/>
    </row>
    <row r="48" ht="12.75" customHeight="1" s="156">
      <c r="R48" s="15" t="n"/>
    </row>
    <row r="49" ht="12.75" customHeight="1" s="156">
      <c r="R49" s="15" t="n"/>
    </row>
    <row r="50" ht="12.75" customHeight="1" s="156">
      <c r="R50" s="15" t="n"/>
    </row>
    <row r="51" ht="12.75" customHeight="1" s="156">
      <c r="R51" s="15" t="n"/>
    </row>
    <row r="52" ht="12.75" customHeight="1" s="156">
      <c r="R52" s="15" t="n"/>
    </row>
    <row r="53" ht="12.75" customHeight="1" s="156">
      <c r="R53" s="15" t="n"/>
    </row>
    <row r="54" ht="12.75" customHeight="1" s="156">
      <c r="R54" s="15" t="n"/>
    </row>
    <row r="55" ht="12.75" customHeight="1" s="156">
      <c r="R55" s="15" t="n"/>
    </row>
    <row r="56" ht="12.75" customHeight="1" s="156">
      <c r="R56" s="15" t="n"/>
    </row>
    <row r="57" ht="12.75" customHeight="1" s="156">
      <c r="R57" s="15" t="n"/>
    </row>
    <row r="58" ht="12.75" customHeight="1" s="156">
      <c r="R58" s="15" t="n"/>
    </row>
    <row r="59" ht="12.75" customHeight="1" s="156">
      <c r="R59" s="15" t="n"/>
    </row>
    <row r="60" ht="12.75" customHeight="1" s="156">
      <c r="R60" s="15" t="n"/>
    </row>
    <row r="61" ht="12.75" customHeight="1" s="156">
      <c r="R61" s="15" t="n"/>
    </row>
    <row r="62" ht="12.75" customHeight="1" s="156">
      <c r="R62" s="15" t="n"/>
    </row>
    <row r="63" ht="12.75" customHeight="1" s="156">
      <c r="R63" s="15" t="n"/>
    </row>
    <row r="64" ht="12.75" customHeight="1" s="156">
      <c r="R64" s="15" t="n"/>
    </row>
    <row r="65" ht="12.75" customHeight="1" s="156">
      <c r="R65" s="15" t="n"/>
    </row>
    <row r="66" ht="12.75" customHeight="1" s="156">
      <c r="R66" s="15" t="n"/>
    </row>
    <row r="67" ht="12.75" customHeight="1" s="156">
      <c r="R67" s="15" t="n"/>
    </row>
    <row r="68" ht="12.75" customHeight="1" s="156">
      <c r="R68" s="15" t="n"/>
    </row>
    <row r="69" ht="12.75" customHeight="1" s="156">
      <c r="R69" s="15" t="n"/>
    </row>
    <row r="70" ht="12.75" customHeight="1" s="156">
      <c r="R70" s="15" t="n"/>
    </row>
    <row r="71" ht="12.75" customHeight="1" s="156">
      <c r="R71" s="15" t="n"/>
    </row>
    <row r="72" ht="12.75" customHeight="1" s="156">
      <c r="R72" s="15" t="n"/>
    </row>
    <row r="73" ht="12.75" customHeight="1" s="156">
      <c r="R73" s="15" t="n"/>
    </row>
    <row r="74" ht="12.75" customHeight="1" s="156">
      <c r="R74" s="15" t="n"/>
    </row>
    <row r="75" ht="12.75" customHeight="1" s="156">
      <c r="R75" s="15" t="n"/>
    </row>
    <row r="76" ht="12.75" customHeight="1" s="156">
      <c r="R76" s="15" t="n"/>
    </row>
    <row r="77" ht="12.75" customHeight="1" s="156">
      <c r="R77" s="15" t="n"/>
    </row>
    <row r="78" ht="12.75" customHeight="1" s="156">
      <c r="R78" s="15" t="n"/>
    </row>
    <row r="79" ht="12.75" customHeight="1" s="156">
      <c r="R79" s="15" t="n"/>
    </row>
    <row r="80" ht="12.75" customHeight="1" s="156">
      <c r="R80" s="15" t="n"/>
    </row>
    <row r="81" ht="12.75" customHeight="1" s="156">
      <c r="R81" s="15" t="n"/>
    </row>
    <row r="82" ht="12.75" customHeight="1" s="156">
      <c r="R82" s="15" t="n"/>
    </row>
    <row r="83" ht="12.75" customHeight="1" s="156">
      <c r="R83" s="15" t="n"/>
    </row>
    <row r="84" ht="12.75" customHeight="1" s="156">
      <c r="R84" s="15" t="n"/>
    </row>
    <row r="85" ht="12.75" customHeight="1" s="156">
      <c r="R85" s="15" t="n"/>
    </row>
    <row r="86" ht="12.75" customHeight="1" s="156">
      <c r="R86" s="15" t="n"/>
    </row>
    <row r="87" ht="12.75" customHeight="1" s="156">
      <c r="R87" s="15" t="n"/>
    </row>
    <row r="88" ht="12.75" customHeight="1" s="156">
      <c r="R88" s="15" t="n"/>
    </row>
    <row r="89" ht="12.75" customHeight="1" s="156">
      <c r="R89" s="15" t="n"/>
    </row>
    <row r="90" ht="12.75" customHeight="1" s="156">
      <c r="R90" s="15" t="n"/>
    </row>
    <row r="91" ht="12.75" customHeight="1" s="156">
      <c r="R91" s="15" t="n"/>
    </row>
    <row r="92" ht="12.75" customHeight="1" s="156">
      <c r="R92" s="15" t="n"/>
    </row>
    <row r="93" ht="12.75" customHeight="1" s="156">
      <c r="R93" s="15" t="n"/>
    </row>
    <row r="94" ht="12.75" customHeight="1" s="156">
      <c r="R94" s="15" t="n"/>
    </row>
    <row r="95" ht="12.75" customHeight="1" s="156">
      <c r="R95" s="15" t="n"/>
    </row>
    <row r="96" ht="12.75" customHeight="1" s="156">
      <c r="R96" s="15" t="n"/>
    </row>
    <row r="97" ht="12.75" customHeight="1" s="156">
      <c r="R97" s="15" t="n"/>
    </row>
    <row r="98" ht="12.75" customHeight="1" s="156">
      <c r="R98" s="15" t="n"/>
    </row>
    <row r="99" ht="12.75" customHeight="1" s="156">
      <c r="R99" s="15" t="n"/>
    </row>
    <row r="100" ht="12.75" customHeight="1" s="156">
      <c r="R100" s="15" t="n"/>
    </row>
    <row r="101" ht="12.75" customHeight="1" s="156">
      <c r="R101" s="15" t="n"/>
    </row>
    <row r="102" ht="12.75" customHeight="1" s="156">
      <c r="R102" s="15" t="n"/>
    </row>
    <row r="103" ht="12.75" customHeight="1" s="156">
      <c r="R103" s="15" t="n"/>
    </row>
    <row r="104" ht="12.75" customHeight="1" s="156">
      <c r="R104" s="15" t="n"/>
    </row>
    <row r="105" ht="12.75" customHeight="1" s="156">
      <c r="R105" s="15" t="n"/>
    </row>
    <row r="106" ht="12.75" customHeight="1" s="156">
      <c r="R106" s="15" t="n"/>
    </row>
    <row r="107" ht="12.75" customHeight="1" s="156">
      <c r="R107" s="15" t="n"/>
    </row>
    <row r="108" ht="12.75" customHeight="1" s="156">
      <c r="R108" s="15" t="n"/>
    </row>
    <row r="109" ht="12.75" customHeight="1" s="156">
      <c r="R109" s="15" t="n"/>
    </row>
    <row r="110" ht="12.75" customHeight="1" s="156">
      <c r="R110" s="15" t="n"/>
    </row>
    <row r="111" ht="12.75" customHeight="1" s="156">
      <c r="R111" s="15" t="n"/>
    </row>
    <row r="112" ht="12.75" customHeight="1" s="156">
      <c r="R112" s="15" t="n"/>
    </row>
    <row r="113" ht="12.75" customHeight="1" s="156">
      <c r="R113" s="15" t="n"/>
    </row>
    <row r="114" ht="12.75" customHeight="1" s="156">
      <c r="R114" s="15" t="n"/>
    </row>
    <row r="115" ht="12.75" customHeight="1" s="156">
      <c r="R115" s="15" t="n"/>
    </row>
    <row r="116" ht="12.75" customHeight="1" s="156">
      <c r="R116" s="15" t="n"/>
    </row>
    <row r="117" ht="12.75" customHeight="1" s="156">
      <c r="R117" s="15" t="n"/>
    </row>
    <row r="118" ht="12.75" customHeight="1" s="156">
      <c r="R118" s="15" t="n"/>
    </row>
    <row r="119" ht="12.75" customHeight="1" s="156">
      <c r="R119" s="15" t="n"/>
    </row>
    <row r="120" ht="12.75" customHeight="1" s="156">
      <c r="R120" s="15" t="n"/>
    </row>
    <row r="121" ht="12.75" customHeight="1" s="156">
      <c r="R121" s="15" t="n"/>
    </row>
    <row r="122" ht="12.75" customHeight="1" s="156">
      <c r="R122" s="15" t="n"/>
    </row>
    <row r="123" ht="12.75" customHeight="1" s="156">
      <c r="R123" s="15" t="n"/>
    </row>
    <row r="124" ht="12.75" customHeight="1" s="156">
      <c r="R124" s="15" t="n"/>
    </row>
    <row r="125" ht="12.75" customHeight="1" s="156">
      <c r="R125" s="15" t="n"/>
    </row>
    <row r="126" ht="12.75" customHeight="1" s="156">
      <c r="R126" s="15" t="n"/>
    </row>
    <row r="127" ht="12.75" customHeight="1" s="156">
      <c r="R127" s="15" t="n"/>
    </row>
    <row r="128" ht="12.75" customHeight="1" s="156">
      <c r="R128" s="15" t="n"/>
    </row>
    <row r="129" ht="12.75" customHeight="1" s="156">
      <c r="R129" s="15" t="n"/>
    </row>
    <row r="130" ht="12.75" customHeight="1" s="156">
      <c r="R130" s="15" t="n"/>
    </row>
    <row r="131" ht="12.75" customHeight="1" s="156">
      <c r="R131" s="15" t="n"/>
    </row>
    <row r="132" ht="12.75" customHeight="1" s="156">
      <c r="R132" s="15" t="n"/>
    </row>
    <row r="133" ht="12.75" customHeight="1" s="156">
      <c r="R133" s="15" t="n"/>
    </row>
    <row r="134" ht="12.75" customHeight="1" s="156">
      <c r="R134" s="15" t="n"/>
    </row>
    <row r="135" ht="12.75" customHeight="1" s="156">
      <c r="R135" s="15" t="n"/>
    </row>
    <row r="136" ht="12.75" customHeight="1" s="156">
      <c r="R136" s="15" t="n"/>
    </row>
    <row r="137" ht="12.75" customHeight="1" s="156">
      <c r="R137" s="15" t="n"/>
    </row>
    <row r="138" ht="12.75" customHeight="1" s="156">
      <c r="R138" s="15" t="n"/>
    </row>
    <row r="139" ht="12.75" customHeight="1" s="156">
      <c r="R139" s="15" t="n"/>
    </row>
    <row r="140" ht="12.75" customHeight="1" s="156">
      <c r="R140" s="15" t="n"/>
    </row>
    <row r="141" ht="12.75" customHeight="1" s="156">
      <c r="R141" s="15" t="n"/>
    </row>
    <row r="142" ht="12.75" customHeight="1" s="156">
      <c r="R142" s="15" t="n"/>
    </row>
    <row r="143" ht="12.75" customHeight="1" s="156">
      <c r="R143" s="15" t="n"/>
    </row>
    <row r="144" ht="12.75" customHeight="1" s="156">
      <c r="R144" s="15" t="n"/>
    </row>
    <row r="145" ht="12.75" customHeight="1" s="156">
      <c r="R145" s="15" t="n"/>
    </row>
    <row r="146" ht="12.75" customHeight="1" s="156">
      <c r="R146" s="15" t="n"/>
    </row>
    <row r="147" ht="12.75" customHeight="1" s="156">
      <c r="R147" s="15" t="n"/>
    </row>
    <row r="148" ht="12.75" customHeight="1" s="156">
      <c r="R148" s="15" t="n"/>
    </row>
    <row r="149" ht="12.75" customHeight="1" s="156">
      <c r="R149" s="15" t="n"/>
    </row>
    <row r="150" ht="12.75" customHeight="1" s="156">
      <c r="R150" s="15" t="n"/>
    </row>
    <row r="151" ht="12.75" customHeight="1" s="156">
      <c r="R151" s="15" t="n"/>
    </row>
    <row r="152" ht="12.75" customHeight="1" s="156">
      <c r="R152" s="15" t="n"/>
    </row>
    <row r="153" ht="12.75" customHeight="1" s="156">
      <c r="R153" s="15" t="n"/>
    </row>
    <row r="154" ht="12.75" customHeight="1" s="156">
      <c r="R154" s="15" t="n"/>
    </row>
    <row r="155" ht="12.75" customHeight="1" s="156">
      <c r="R155" s="15" t="n"/>
    </row>
    <row r="156" ht="12.75" customHeight="1" s="156">
      <c r="R156" s="15" t="n"/>
    </row>
    <row r="157" ht="12.75" customHeight="1" s="156">
      <c r="R157" s="15" t="n"/>
    </row>
    <row r="158" ht="12.75" customHeight="1" s="156">
      <c r="R158" s="15" t="n"/>
    </row>
    <row r="159" ht="12.75" customHeight="1" s="156">
      <c r="R159" s="15" t="n"/>
    </row>
    <row r="160" ht="12.75" customHeight="1" s="156">
      <c r="R160" s="15" t="n"/>
    </row>
    <row r="161" ht="12.75" customHeight="1" s="156">
      <c r="R161" s="15" t="n"/>
    </row>
    <row r="162" ht="12.75" customHeight="1" s="156">
      <c r="R162" s="15" t="n"/>
    </row>
    <row r="163" ht="12.75" customHeight="1" s="156">
      <c r="R163" s="15" t="n"/>
    </row>
    <row r="164" ht="12.75" customHeight="1" s="156">
      <c r="R164" s="15" t="n"/>
    </row>
    <row r="165" ht="12.75" customHeight="1" s="156">
      <c r="R165" s="15" t="n"/>
    </row>
    <row r="166" ht="12.75" customHeight="1" s="156">
      <c r="R166" s="15" t="n"/>
    </row>
    <row r="167" ht="12.75" customHeight="1" s="156">
      <c r="R167" s="15" t="n"/>
    </row>
    <row r="168" ht="12.75" customHeight="1" s="156">
      <c r="R168" s="15" t="n"/>
    </row>
    <row r="169" ht="12.75" customHeight="1" s="156">
      <c r="R169" s="15" t="n"/>
    </row>
    <row r="170" ht="12.75" customHeight="1" s="156">
      <c r="R170" s="15" t="n"/>
    </row>
    <row r="171" ht="12.75" customHeight="1" s="156">
      <c r="R171" s="15" t="n"/>
    </row>
    <row r="172" ht="12.75" customHeight="1" s="156">
      <c r="R172" s="15" t="n"/>
    </row>
    <row r="173" ht="12.75" customHeight="1" s="156">
      <c r="R173" s="15" t="n"/>
    </row>
    <row r="174" ht="12.75" customHeight="1" s="156">
      <c r="R174" s="15" t="n"/>
    </row>
    <row r="175" ht="12.75" customHeight="1" s="156">
      <c r="R175" s="15" t="n"/>
    </row>
    <row r="176" ht="12.75" customHeight="1" s="156">
      <c r="R176" s="15" t="n"/>
    </row>
    <row r="177" ht="12.75" customHeight="1" s="156">
      <c r="R177" s="15" t="n"/>
    </row>
    <row r="178" ht="12.75" customHeight="1" s="156">
      <c r="R178" s="15" t="n"/>
    </row>
    <row r="179" ht="12.75" customHeight="1" s="156">
      <c r="R179" s="15" t="n"/>
    </row>
    <row r="180" ht="12.75" customHeight="1" s="156">
      <c r="R180" s="15" t="n"/>
    </row>
    <row r="181" ht="12.75" customHeight="1" s="156">
      <c r="R181" s="15" t="n"/>
    </row>
    <row r="182" ht="12.75" customHeight="1" s="156">
      <c r="R182" s="15" t="n"/>
    </row>
    <row r="183" ht="12.75" customHeight="1" s="156">
      <c r="R183" s="15" t="n"/>
    </row>
    <row r="184" ht="12.75" customHeight="1" s="156">
      <c r="R184" s="15" t="n"/>
    </row>
    <row r="185" ht="12.75" customHeight="1" s="156">
      <c r="R185" s="15" t="n"/>
    </row>
    <row r="186" ht="12.75" customHeight="1" s="156">
      <c r="R186" s="15" t="n"/>
    </row>
    <row r="187" ht="12.75" customHeight="1" s="156">
      <c r="R187" s="15" t="n"/>
    </row>
    <row r="188" ht="12.75" customHeight="1" s="156">
      <c r="R188" s="15" t="n"/>
    </row>
    <row r="189" ht="12.75" customHeight="1" s="156">
      <c r="R189" s="15" t="n"/>
    </row>
    <row r="190" ht="12.75" customHeight="1" s="156">
      <c r="R190" s="15" t="n"/>
    </row>
    <row r="191" ht="12.75" customHeight="1" s="156">
      <c r="R191" s="15" t="n"/>
    </row>
    <row r="192" ht="12.75" customHeight="1" s="156">
      <c r="R192" s="15" t="n"/>
    </row>
    <row r="193" ht="12.75" customHeight="1" s="156">
      <c r="R193" s="15" t="n"/>
    </row>
    <row r="194" ht="12.75" customHeight="1" s="156">
      <c r="R194" s="15" t="n"/>
    </row>
    <row r="195" ht="12.75" customHeight="1" s="156">
      <c r="R195" s="15" t="n"/>
    </row>
    <row r="196" ht="12.75" customHeight="1" s="156">
      <c r="R196" s="15" t="n"/>
    </row>
    <row r="197" ht="12.75" customHeight="1" s="156">
      <c r="R197" s="15" t="n"/>
    </row>
    <row r="198" ht="12.75" customHeight="1" s="156">
      <c r="R198" s="15" t="n"/>
    </row>
    <row r="199" ht="12.75" customHeight="1" s="156">
      <c r="R199" s="15" t="n"/>
    </row>
    <row r="200" ht="12.75" customHeight="1" s="156">
      <c r="R200" s="15" t="n"/>
    </row>
    <row r="201" ht="12.75" customHeight="1" s="156">
      <c r="R201" s="15" t="n"/>
    </row>
    <row r="202" ht="12.75" customHeight="1" s="156">
      <c r="R202" s="15" t="n"/>
    </row>
    <row r="203" ht="12.75" customHeight="1" s="156">
      <c r="R203" s="15" t="n"/>
    </row>
    <row r="204" ht="12.75" customHeight="1" s="156">
      <c r="R204" s="15" t="n"/>
    </row>
    <row r="205" ht="12.75" customHeight="1" s="156">
      <c r="R205" s="15" t="n"/>
    </row>
    <row r="206" ht="12.75" customHeight="1" s="156">
      <c r="R206" s="15" t="n"/>
    </row>
    <row r="207" ht="12.75" customHeight="1" s="156">
      <c r="R207" s="15" t="n"/>
    </row>
    <row r="208" ht="12.75" customHeight="1" s="156">
      <c r="R208" s="15" t="n"/>
    </row>
    <row r="209" ht="12.75" customHeight="1" s="156">
      <c r="R209" s="15" t="n"/>
    </row>
    <row r="210" ht="12.75" customHeight="1" s="156">
      <c r="R210" s="15" t="n"/>
    </row>
    <row r="211" ht="12.75" customHeight="1" s="156">
      <c r="R211" s="15" t="n"/>
    </row>
    <row r="212" ht="12.75" customHeight="1" s="156">
      <c r="R212" s="15" t="n"/>
    </row>
    <row r="213" ht="12.75" customHeight="1" s="156">
      <c r="R213" s="15" t="n"/>
    </row>
    <row r="214" ht="12.75" customHeight="1" s="156">
      <c r="R214" s="15" t="n"/>
    </row>
    <row r="215" ht="12.75" customHeight="1" s="156">
      <c r="R215" s="15" t="n"/>
    </row>
    <row r="216" ht="12.75" customHeight="1" s="156">
      <c r="R216" s="15" t="n"/>
    </row>
    <row r="217" ht="12.75" customHeight="1" s="156">
      <c r="R217" s="15" t="n"/>
    </row>
    <row r="218" ht="12.75" customHeight="1" s="156">
      <c r="R218" s="15" t="n"/>
    </row>
    <row r="219" ht="12.75" customHeight="1" s="156">
      <c r="R219" s="15" t="n"/>
    </row>
    <row r="220" ht="12.75" customHeight="1" s="156">
      <c r="R220" s="15" t="n"/>
    </row>
    <row r="221" ht="12.75" customHeight="1" s="156">
      <c r="R221" s="15" t="n"/>
    </row>
    <row r="222" ht="12.75" customHeight="1" s="156">
      <c r="R222" s="15" t="n"/>
    </row>
    <row r="223" ht="12.75" customHeight="1" s="156">
      <c r="R223" s="15" t="n"/>
    </row>
    <row r="224" ht="12.75" customHeight="1" s="156">
      <c r="R224" s="15" t="n"/>
    </row>
    <row r="225" ht="12.75" customHeight="1" s="156">
      <c r="R225" s="15" t="n"/>
    </row>
    <row r="226" ht="12.75" customHeight="1" s="156">
      <c r="R226" s="15" t="n"/>
    </row>
    <row r="227" ht="12.75" customHeight="1" s="156">
      <c r="R227" s="15" t="n"/>
    </row>
    <row r="228" ht="12.75" customHeight="1" s="156">
      <c r="R228" s="15" t="n"/>
    </row>
    <row r="229" ht="12.75" customHeight="1" s="156">
      <c r="R229" s="15" t="n"/>
    </row>
    <row r="230" ht="12.75" customHeight="1" s="156">
      <c r="R230" s="15" t="n"/>
    </row>
    <row r="231" ht="12.75" customHeight="1" s="156">
      <c r="R231" s="15" t="n"/>
    </row>
    <row r="232" ht="12.75" customHeight="1" s="156">
      <c r="R232" s="15" t="n"/>
    </row>
    <row r="233" ht="12.75" customHeight="1" s="156">
      <c r="R233" s="15" t="n"/>
    </row>
    <row r="234" ht="12.75" customHeight="1" s="156">
      <c r="R234" s="15" t="n"/>
    </row>
    <row r="235" ht="12.75" customHeight="1" s="156">
      <c r="R235" s="15" t="n"/>
    </row>
    <row r="236" ht="12.75" customHeight="1" s="156">
      <c r="R236" s="15" t="n"/>
    </row>
    <row r="237" ht="12.75" customHeight="1" s="156">
      <c r="R237" s="15" t="n"/>
    </row>
    <row r="238" ht="12.75" customHeight="1" s="156">
      <c r="R238" s="15" t="n"/>
    </row>
    <row r="239" ht="12.75" customHeight="1" s="156">
      <c r="R239" s="15" t="n"/>
    </row>
    <row r="240" ht="12.75" customHeight="1" s="156">
      <c r="R240" s="15" t="n"/>
    </row>
    <row r="241" ht="12.75" customHeight="1" s="156">
      <c r="R241" s="15" t="n"/>
    </row>
    <row r="242" ht="12.75" customHeight="1" s="156">
      <c r="R242" s="15" t="n"/>
    </row>
    <row r="243" ht="12.75" customHeight="1" s="156">
      <c r="R243" s="15" t="n"/>
    </row>
    <row r="244" ht="12.75" customHeight="1" s="156">
      <c r="R244" s="15" t="n"/>
    </row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11:C11"/>
    <mergeCell ref="A20:C20"/>
    <mergeCell ref="A21:C21"/>
    <mergeCell ref="A44:C44"/>
  </mergeCells>
  <conditionalFormatting sqref="A34:A38">
    <cfRule type="expression" priority="1" dxfId="0">
      <formula>_xludf.ISFORMULA(A35:Z1034)</formula>
    </cfRule>
  </conditionalFormatting>
  <pageMargins left="0.75" right="0.75" top="1" bottom="1" header="0" footer="0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2"/>
  <sheetViews>
    <sheetView showGridLines="0" workbookViewId="0">
      <selection activeCell="A1" sqref="A1"/>
    </sheetView>
  </sheetViews>
  <sheetFormatPr baseColWidth="10" defaultColWidth="14.5" defaultRowHeight="15" customHeight="1"/>
  <cols>
    <col width="48.5" customWidth="1" style="156" min="1" max="1"/>
    <col width="8.6640625" customWidth="1" style="156" min="2" max="2"/>
    <col width="13" customWidth="1" style="156" min="3" max="3"/>
    <col width="12.5" customWidth="1" style="156" min="4" max="5"/>
    <col width="8.5" customWidth="1" style="156" min="6" max="6"/>
    <col width="11.5" customWidth="1" style="156" min="7" max="24"/>
  </cols>
  <sheetData>
    <row r="1" ht="20" customHeight="1" s="156">
      <c r="A1" s="17">
        <f>'Est. Res. Proy.'!A2</f>
        <v/>
      </c>
      <c r="B1" s="146" t="n"/>
      <c r="C1" s="18" t="n"/>
      <c r="D1" s="18" t="n"/>
    </row>
    <row r="2" ht="18" customHeight="1" s="156">
      <c r="A2" s="54" t="inlineStr">
        <is>
          <t>Amortizaciones</t>
        </is>
      </c>
      <c r="B2" s="18" t="n"/>
      <c r="C2" s="18" t="n"/>
      <c r="D2" s="18" t="n"/>
    </row>
    <row r="3" ht="12.75" customHeight="1" s="156">
      <c r="A3" s="54" t="n"/>
      <c r="B3" s="18" t="n"/>
      <c r="C3" s="22" t="n"/>
      <c r="D3" s="22" t="n"/>
    </row>
    <row r="4" ht="12.75" customHeight="1" s="156">
      <c r="A4" s="147" t="inlineStr">
        <is>
          <t>Período</t>
        </is>
      </c>
      <c r="B4" s="71" t="inlineStr">
        <is>
          <t>Vida Util</t>
        </is>
      </c>
      <c r="C4" s="93" t="inlineStr">
        <is>
          <t xml:space="preserve">Amortización </t>
        </is>
      </c>
      <c r="D4" s="157" t="inlineStr">
        <is>
          <t>Amortización</t>
        </is>
      </c>
      <c r="E4" s="157" t="inlineStr">
        <is>
          <t>Valor</t>
        </is>
      </c>
      <c r="G4" s="158" t="inlineStr">
        <is>
          <t>Detalle</t>
        </is>
      </c>
      <c r="H4" s="159" t="inlineStr">
        <is>
          <t>Vida Útil</t>
        </is>
      </c>
    </row>
    <row r="5" ht="12.75" customHeight="1" s="156">
      <c r="A5" s="227" t="inlineStr">
        <is>
          <t>Concepto</t>
        </is>
      </c>
      <c r="B5" s="228" t="inlineStr">
        <is>
          <t>meses</t>
        </is>
      </c>
      <c r="C5" s="209" t="inlineStr">
        <is>
          <t>7 meses</t>
        </is>
      </c>
      <c r="D5" s="229" t="inlineStr">
        <is>
          <t xml:space="preserve"> Acumulada</t>
        </is>
      </c>
      <c r="E5" s="229" t="inlineStr">
        <is>
          <t>Residual</t>
        </is>
      </c>
      <c r="G5" s="160" t="inlineStr">
        <is>
          <t>Hardware</t>
        </is>
      </c>
      <c r="H5" s="163" t="inlineStr">
        <is>
          <t>3 años</t>
        </is>
      </c>
    </row>
    <row r="6" ht="12.75" customHeight="1" s="156">
      <c r="A6" s="155" t="inlineStr">
        <is>
          <t xml:space="preserve">Escritorios </t>
        </is>
      </c>
      <c r="B6" s="161" t="n">
        <v>120</v>
      </c>
      <c r="C6" s="162">
        <f>(Inversiones!D6)/B6*7</f>
        <v/>
      </c>
      <c r="D6" s="230">
        <f>C6</f>
        <v/>
      </c>
      <c r="E6" s="230">
        <f>Inversiones!D6-Amortizaciones!D6</f>
        <v/>
      </c>
      <c r="G6" s="160" t="inlineStr">
        <is>
          <t xml:space="preserve">Software </t>
        </is>
      </c>
      <c r="H6" s="163" t="inlineStr">
        <is>
          <t>3 años</t>
        </is>
      </c>
    </row>
    <row r="7" ht="12.75" customHeight="1" s="156">
      <c r="A7" s="155" t="inlineStr">
        <is>
          <t>Sillas</t>
        </is>
      </c>
      <c r="B7" s="161" t="n">
        <v>120</v>
      </c>
      <c r="C7" s="162">
        <f>(Inversiones!D7)/B7*7</f>
        <v/>
      </c>
      <c r="D7" s="230">
        <f>C7</f>
        <v/>
      </c>
      <c r="E7" s="230">
        <f>Inversiones!D7-Amortizaciones!D7</f>
        <v/>
      </c>
      <c r="G7" s="160" t="inlineStr">
        <is>
          <t>Software Licencias</t>
        </is>
      </c>
      <c r="H7" s="163" t="inlineStr">
        <is>
          <t>3 años</t>
        </is>
      </c>
    </row>
    <row r="8" ht="12.75" customHeight="1" s="156">
      <c r="A8" s="155" t="inlineStr">
        <is>
          <t>Router Telefonia IP</t>
        </is>
      </c>
      <c r="B8" s="161" t="n">
        <v>120</v>
      </c>
      <c r="C8" s="162">
        <f>(Inversiones!D8)/B8*7</f>
        <v/>
      </c>
      <c r="D8" s="230">
        <f>C8</f>
        <v/>
      </c>
      <c r="E8" s="230">
        <f>Inversiones!D8-Amortizaciones!D8</f>
        <v/>
      </c>
    </row>
    <row r="9" ht="12.75" customHeight="1" s="156">
      <c r="A9" s="155" t="inlineStr">
        <is>
          <t>Teléfonos IP</t>
        </is>
      </c>
      <c r="B9" s="161" t="n">
        <v>120</v>
      </c>
      <c r="C9" s="162">
        <f>(Inversiones!D9)/B9*7</f>
        <v/>
      </c>
      <c r="D9" s="230">
        <f>C9</f>
        <v/>
      </c>
      <c r="E9" s="230">
        <f>Inversiones!D9-Amortizaciones!D9</f>
        <v/>
      </c>
    </row>
    <row r="10" ht="12.75" customHeight="1" s="156">
      <c r="A10" s="101" t="inlineStr">
        <is>
          <t>Armarios</t>
        </is>
      </c>
      <c r="B10" s="164" t="n">
        <v>120</v>
      </c>
      <c r="C10" s="162">
        <f>(Inversiones!D10)/B10*7</f>
        <v/>
      </c>
      <c r="D10" s="230">
        <f>C10</f>
        <v/>
      </c>
      <c r="E10" s="230">
        <f>Inversiones!D10-Amortizaciones!D10</f>
        <v/>
      </c>
    </row>
    <row r="11" ht="12.75" customHeight="1" s="156">
      <c r="A11" s="165" t="inlineStr">
        <is>
          <t>Subtotal Inversiones Muebles y Utiles</t>
        </is>
      </c>
      <c r="B11" s="166" t="n"/>
      <c r="C11" s="167">
        <f>SUM(C6:C10)</f>
        <v/>
      </c>
      <c r="D11" s="168">
        <f>SUM(D6:D10)</f>
        <v/>
      </c>
      <c r="E11" s="168">
        <f>SUM(E6:E10)</f>
        <v/>
      </c>
    </row>
    <row r="12" ht="12.75" customHeight="1" s="156">
      <c r="A12" s="80" t="inlineStr">
        <is>
          <t>Computadoras Portátiles (Dell Vostro I3 4gb 1tb)</t>
        </is>
      </c>
      <c r="B12" s="169">
        <f>12*3</f>
        <v/>
      </c>
      <c r="C12" s="162">
        <f>(Inversiones!D12)/B12*7</f>
        <v/>
      </c>
      <c r="D12" s="230">
        <f>C12</f>
        <v/>
      </c>
      <c r="E12" s="230">
        <f>Inversiones!D12-Amortizaciones!D12</f>
        <v/>
      </c>
    </row>
    <row r="13" ht="12.75" customHeight="1" s="156">
      <c r="A13" s="155" t="inlineStr">
        <is>
          <t xml:space="preserve">Servidor </t>
        </is>
      </c>
      <c r="B13" s="161" t="n">
        <v>120</v>
      </c>
      <c r="C13" s="162">
        <f>(Inversiones!D13)/B13*7</f>
        <v/>
      </c>
      <c r="D13" s="230">
        <f>C13</f>
        <v/>
      </c>
      <c r="E13" s="230">
        <f>Inversiones!D13-Amortizaciones!D13</f>
        <v/>
      </c>
    </row>
    <row r="14" ht="12.75" customHeight="1" s="156">
      <c r="A14" s="155" t="inlineStr">
        <is>
          <t>Rack Servidor</t>
        </is>
      </c>
      <c r="B14" s="161" t="n">
        <v>120</v>
      </c>
      <c r="C14" s="162">
        <f>(Inversiones!D14)/B14*7</f>
        <v/>
      </c>
      <c r="D14" s="230">
        <f>C14</f>
        <v/>
      </c>
      <c r="E14" s="230">
        <f>Inversiones!D14-Amortizaciones!D14</f>
        <v/>
      </c>
    </row>
    <row r="15" ht="12.75" customHeight="1" s="156">
      <c r="A15" s="155" t="inlineStr">
        <is>
          <t>Impresoras laser BN</t>
        </is>
      </c>
      <c r="B15" s="161" t="n">
        <v>120</v>
      </c>
      <c r="C15" s="162">
        <f>(Inversiones!D15)/B15*7</f>
        <v/>
      </c>
      <c r="D15" s="230">
        <f>C15</f>
        <v/>
      </c>
      <c r="E15" s="230">
        <f>Inversiones!D15-Amortizaciones!D15</f>
        <v/>
      </c>
    </row>
    <row r="16" ht="12.75" customHeight="1" s="156">
      <c r="A16" s="155" t="inlineStr">
        <is>
          <t>Router</t>
        </is>
      </c>
      <c r="B16" s="161" t="n">
        <v>120</v>
      </c>
      <c r="C16" s="162">
        <f>(Inversiones!D16)/B16*7</f>
        <v/>
      </c>
      <c r="D16" s="230">
        <f>C16</f>
        <v/>
      </c>
      <c r="E16" s="230">
        <f>Inversiones!D16-Amortizaciones!D16</f>
        <v/>
      </c>
    </row>
    <row r="17" ht="12.75" customHeight="1" s="156">
      <c r="A17" s="155" t="inlineStr">
        <is>
          <t>Switch 24 bocas</t>
        </is>
      </c>
      <c r="B17" s="161" t="n">
        <v>120</v>
      </c>
      <c r="C17" s="162">
        <f>(Inversiones!D17)/B17*7</f>
        <v/>
      </c>
      <c r="D17" s="230">
        <f>C17</f>
        <v/>
      </c>
      <c r="E17" s="230">
        <f>Inversiones!D17-Amortizaciones!D17</f>
        <v/>
      </c>
    </row>
    <row r="18" ht="12.75" customHeight="1" s="156">
      <c r="A18" s="155" t="inlineStr">
        <is>
          <t>Impresora 3D</t>
        </is>
      </c>
      <c r="B18" s="161" t="n">
        <v>120</v>
      </c>
      <c r="C18" s="162">
        <f>(Inversiones!D18)/B18*7</f>
        <v/>
      </c>
      <c r="D18" s="230">
        <f>C18</f>
        <v/>
      </c>
      <c r="E18" s="230">
        <f>Inversiones!D18-Amortizaciones!D18</f>
        <v/>
      </c>
    </row>
    <row r="19" ht="12.75" customHeight="1" s="156">
      <c r="A19" s="165" t="inlineStr">
        <is>
          <t>Subtotal Equipamiento</t>
        </is>
      </c>
      <c r="B19" s="166" t="n"/>
      <c r="C19" s="167">
        <f>SUM(C12:C18)</f>
        <v/>
      </c>
      <c r="D19" s="168">
        <f>SUM(D12:D18)</f>
        <v/>
      </c>
      <c r="E19" s="168">
        <f>SUM(E12:E18)</f>
        <v/>
      </c>
    </row>
    <row r="20" ht="12.75" customHeight="1" s="156">
      <c r="A20" s="165" t="inlineStr">
        <is>
          <t>Total Amortizaciones</t>
        </is>
      </c>
      <c r="B20" s="166" t="n"/>
      <c r="C20" s="167">
        <f>C11+C19</f>
        <v/>
      </c>
      <c r="D20" s="170">
        <f>D11+D19</f>
        <v/>
      </c>
      <c r="E20" s="168" t="inlineStr">
        <is>
          <t> </t>
        </is>
      </c>
    </row>
    <row r="21" ht="12.75" customHeight="1" s="156">
      <c r="F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</row>
    <row r="22" ht="12.75" customHeight="1" s="156">
      <c r="G22" s="15" t="n"/>
      <c r="H22" s="15" t="n"/>
    </row>
    <row r="23" ht="12.75" customHeight="1" s="156"/>
    <row r="24" ht="12.75" customHeight="1" s="156"/>
    <row r="25" ht="12.75" customHeight="1" s="156"/>
    <row r="26" ht="12.75" customHeight="1" s="156"/>
    <row r="27" ht="12.75" customHeight="1" s="156"/>
    <row r="28" ht="12.75" customHeight="1" s="156"/>
    <row r="29" ht="12.75" customHeight="1" s="156"/>
    <row r="30" ht="12.75" customHeight="1" s="156"/>
    <row r="31" ht="12.75" customHeight="1" s="156"/>
    <row r="32" ht="12.75" customHeight="1" s="156"/>
    <row r="33" ht="12.75" customHeight="1" s="156"/>
    <row r="34" ht="12.75" customHeight="1" s="156"/>
    <row r="35" ht="12.75" customHeight="1" s="156"/>
    <row r="36" ht="12.75" customHeight="1" s="156"/>
    <row r="37" ht="12.75" customHeight="1" s="156"/>
    <row r="38" ht="12.75" customHeight="1" s="156"/>
    <row r="39" ht="12.75" customHeight="1" s="156"/>
    <row r="40" ht="12.75" customHeight="1" s="156"/>
    <row r="41" ht="12.75" customHeight="1" s="156"/>
    <row r="42" ht="12.75" customHeight="1" s="156"/>
    <row r="43" ht="12.75" customHeight="1" s="156"/>
    <row r="44" ht="12.75" customHeight="1" s="156"/>
    <row r="45" ht="12.75" customHeight="1" s="156"/>
    <row r="46" ht="12.75" customHeight="1" s="156"/>
    <row r="47" ht="12.75" customHeight="1" s="156"/>
    <row r="48" ht="12.75" customHeight="1" s="156"/>
    <row r="49" ht="12.75" customHeight="1" s="156"/>
    <row r="50" ht="12.75" customHeight="1" s="156"/>
    <row r="51" ht="12.75" customHeight="1" s="156"/>
    <row r="52" ht="12.75" customHeight="1" s="156"/>
    <row r="53" ht="12.75" customHeight="1" s="156"/>
    <row r="54" ht="12.75" customHeight="1" s="156"/>
    <row r="55" ht="12.75" customHeight="1" s="156"/>
    <row r="56" ht="12.75" customHeight="1" s="156"/>
    <row r="57" ht="12.75" customHeight="1" s="156"/>
    <row r="58" ht="12.75" customHeight="1" s="156"/>
    <row r="59" ht="12.75" customHeight="1" s="156"/>
    <row r="60" ht="12.75" customHeight="1" s="156"/>
    <row r="61" ht="12.75" customHeight="1" s="156"/>
    <row r="62" ht="12.75" customHeight="1" s="156"/>
    <row r="63" ht="12.75" customHeight="1" s="156"/>
    <row r="64" ht="12.75" customHeight="1" s="156"/>
    <row r="65" ht="12.75" customHeight="1" s="156"/>
    <row r="66" ht="12.75" customHeight="1" s="156"/>
    <row r="67" ht="12.75" customHeight="1" s="156"/>
    <row r="68" ht="12.75" customHeight="1" s="156"/>
    <row r="69" ht="12.75" customHeight="1" s="156"/>
    <row r="70" ht="12.75" customHeight="1" s="156"/>
    <row r="71" ht="12.75" customHeight="1" s="156"/>
    <row r="72" ht="12.75" customHeight="1" s="156"/>
    <row r="73" ht="12.75" customHeight="1" s="156"/>
    <row r="74" ht="12.75" customHeight="1" s="156"/>
    <row r="75" ht="12.75" customHeight="1" s="156"/>
    <row r="76" ht="12.75" customHeight="1" s="156"/>
    <row r="77" ht="12.75" customHeight="1" s="156"/>
    <row r="78" ht="12.75" customHeight="1" s="156"/>
    <row r="79" ht="12.75" customHeight="1" s="156"/>
    <row r="80" ht="12.75" customHeight="1" s="156"/>
    <row r="81" ht="12.75" customHeight="1" s="156"/>
    <row r="82" ht="12.75" customHeight="1" s="156"/>
    <row r="83" ht="12.75" customHeight="1" s="156"/>
    <row r="84" ht="12.75" customHeight="1" s="156"/>
    <row r="85" ht="12.75" customHeight="1" s="156"/>
    <row r="86" ht="12.75" customHeight="1" s="156"/>
    <row r="87" ht="12.75" customHeight="1" s="156"/>
    <row r="88" ht="12.75" customHeight="1" s="156"/>
    <row r="89" ht="12.75" customHeight="1" s="156"/>
    <row r="90" ht="12.75" customHeight="1" s="156"/>
    <row r="91" ht="12.75" customHeight="1" s="156"/>
    <row r="92" ht="12.75" customHeight="1" s="156"/>
    <row r="93" ht="12.75" customHeight="1" s="156"/>
    <row r="94" ht="12.75" customHeight="1" s="156"/>
    <row r="95" ht="12.75" customHeight="1" s="156"/>
    <row r="96" ht="12.75" customHeight="1" s="156"/>
    <row r="97" ht="12.75" customHeight="1" s="156"/>
    <row r="98" ht="12.75" customHeight="1" s="156"/>
    <row r="99" ht="12.75" customHeight="1" s="156"/>
    <row r="100" ht="12.75" customHeight="1" s="156"/>
    <row r="101" ht="12.75" customHeight="1" s="156"/>
    <row r="102" ht="12.75" customHeight="1" s="156"/>
    <row r="103" ht="12.75" customHeight="1" s="156"/>
    <row r="104" ht="12.75" customHeight="1" s="156"/>
    <row r="105" ht="12.75" customHeight="1" s="156"/>
    <row r="106" ht="12.75" customHeight="1" s="156"/>
    <row r="107" ht="12.75" customHeight="1" s="156"/>
    <row r="108" ht="12.75" customHeight="1" s="156"/>
    <row r="109" ht="12.75" customHeight="1" s="156"/>
    <row r="110" ht="12.75" customHeight="1" s="156"/>
    <row r="111" ht="12.75" customHeight="1" s="156"/>
    <row r="112" ht="12.75" customHeight="1" s="156"/>
    <row r="113" ht="12.75" customHeight="1" s="156"/>
    <row r="114" ht="12.75" customHeight="1" s="156"/>
    <row r="115" ht="12.75" customHeight="1" s="156"/>
    <row r="116" ht="12.75" customHeight="1" s="156"/>
    <row r="117" ht="12.75" customHeight="1" s="156"/>
    <row r="118" ht="12.75" customHeight="1" s="156"/>
    <row r="119" ht="12.75" customHeight="1" s="156"/>
    <row r="120" ht="12.75" customHeight="1" s="156"/>
    <row r="121" ht="12.75" customHeight="1" s="156"/>
    <row r="122" ht="12.75" customHeight="1" s="156"/>
    <row r="123" ht="12.75" customHeight="1" s="156"/>
    <row r="124" ht="12.75" customHeight="1" s="156"/>
    <row r="125" ht="12.75" customHeight="1" s="156"/>
    <row r="126" ht="12.75" customHeight="1" s="156"/>
    <row r="127" ht="12.75" customHeight="1" s="156"/>
    <row r="128" ht="12.75" customHeight="1" s="156"/>
    <row r="129" ht="12.75" customHeight="1" s="156"/>
    <row r="130" ht="12.75" customHeight="1" s="156"/>
    <row r="131" ht="12.75" customHeight="1" s="156"/>
    <row r="132" ht="12.75" customHeight="1" s="156"/>
    <row r="133" ht="12.75" customHeight="1" s="156"/>
    <row r="134" ht="12.75" customHeight="1" s="156"/>
    <row r="135" ht="12.75" customHeight="1" s="156"/>
    <row r="136" ht="12.75" customHeight="1" s="156"/>
    <row r="137" ht="12.75" customHeight="1" s="156"/>
    <row r="138" ht="12.75" customHeight="1" s="156"/>
    <row r="139" ht="12.75" customHeight="1" s="156"/>
    <row r="140" ht="12.75" customHeight="1" s="156"/>
    <row r="141" ht="12.75" customHeight="1" s="156"/>
    <row r="142" ht="12.75" customHeight="1" s="156"/>
    <row r="143" ht="12.75" customHeight="1" s="156"/>
    <row r="144" ht="12.75" customHeight="1" s="156"/>
    <row r="145" ht="12.75" customHeight="1" s="156"/>
    <row r="146" ht="12.75" customHeight="1" s="156"/>
    <row r="147" ht="12.75" customHeight="1" s="156"/>
    <row r="148" ht="12.75" customHeight="1" s="156"/>
    <row r="149" ht="12.75" customHeight="1" s="156"/>
    <row r="150" ht="12.75" customHeight="1" s="156"/>
    <row r="151" ht="12.75" customHeight="1" s="156"/>
    <row r="152" ht="12.75" customHeight="1" s="156"/>
    <row r="153" ht="12.75" customHeight="1" s="156"/>
    <row r="154" ht="12.75" customHeight="1" s="156"/>
    <row r="155" ht="12.75" customHeight="1" s="156"/>
    <row r="156" ht="12.75" customHeight="1" s="156"/>
    <row r="157" ht="12.75" customHeight="1" s="156"/>
    <row r="158" ht="12.75" customHeight="1" s="156"/>
    <row r="159" ht="12.75" customHeight="1" s="156"/>
    <row r="160" ht="12.75" customHeight="1" s="156"/>
    <row r="161" ht="12.75" customHeight="1" s="156"/>
    <row r="162" ht="12.75" customHeight="1" s="156"/>
    <row r="163" ht="12.75" customHeight="1" s="156"/>
    <row r="164" ht="12.75" customHeight="1" s="156"/>
    <row r="165" ht="12.75" customHeight="1" s="156"/>
    <row r="166" ht="12.75" customHeight="1" s="156"/>
    <row r="167" ht="12.75" customHeight="1" s="156"/>
    <row r="168" ht="12.75" customHeight="1" s="156"/>
    <row r="169" ht="12.75" customHeight="1" s="156"/>
    <row r="170" ht="12.75" customHeight="1" s="156"/>
    <row r="171" ht="12.75" customHeight="1" s="156"/>
    <row r="172" ht="12.75" customHeight="1" s="156"/>
    <row r="173" ht="12.75" customHeight="1" s="156"/>
    <row r="174" ht="12.75" customHeight="1" s="156"/>
    <row r="175" ht="12.75" customHeight="1" s="156"/>
    <row r="176" ht="12.75" customHeight="1" s="156"/>
    <row r="177" ht="12.75" customHeight="1" s="156"/>
    <row r="178" ht="12.75" customHeight="1" s="156"/>
    <row r="179" ht="12.75" customHeight="1" s="156"/>
    <row r="180" ht="12.75" customHeight="1" s="156"/>
    <row r="181" ht="12.75" customHeight="1" s="156"/>
    <row r="182" ht="12.75" customHeight="1" s="156"/>
    <row r="183" ht="12.75" customHeight="1" s="156"/>
    <row r="184" ht="12.75" customHeight="1" s="156"/>
    <row r="185" ht="12.75" customHeight="1" s="156"/>
    <row r="186" ht="12.75" customHeight="1" s="156"/>
    <row r="187" ht="12.75" customHeight="1" s="156"/>
    <row r="188" ht="12.75" customHeight="1" s="156"/>
    <row r="189" ht="12.75" customHeight="1" s="156"/>
    <row r="190" ht="12.75" customHeight="1" s="156"/>
    <row r="191" ht="12.75" customHeight="1" s="156"/>
    <row r="192" ht="12.75" customHeight="1" s="156"/>
    <row r="193" ht="12.75" customHeight="1" s="156"/>
    <row r="194" ht="12.75" customHeight="1" s="156"/>
    <row r="195" ht="12.75" customHeight="1" s="156"/>
    <row r="196" ht="12.75" customHeight="1" s="156"/>
    <row r="197" ht="12.75" customHeight="1" s="156"/>
    <row r="198" ht="12.75" customHeight="1" s="156"/>
    <row r="199" ht="12.75" customHeight="1" s="156"/>
    <row r="200" ht="12.75" customHeight="1" s="156"/>
    <row r="201" ht="12.75" customHeight="1" s="156"/>
    <row r="202" ht="12.75" customHeight="1" s="156"/>
    <row r="203" ht="12.75" customHeight="1" s="156"/>
    <row r="204" ht="12.75" customHeight="1" s="156"/>
    <row r="205" ht="12.75" customHeight="1" s="156"/>
    <row r="206" ht="12.75" customHeight="1" s="156"/>
    <row r="207" ht="12.75" customHeight="1" s="156"/>
    <row r="208" ht="12.75" customHeight="1" s="156"/>
    <row r="209" ht="12.75" customHeight="1" s="156"/>
    <row r="210" ht="12.75" customHeight="1" s="156"/>
    <row r="211" ht="12.75" customHeight="1" s="156"/>
    <row r="212" ht="12.75" customHeight="1" s="156"/>
    <row r="213" ht="12.75" customHeight="1" s="156"/>
    <row r="214" ht="12.75" customHeight="1" s="156"/>
    <row r="215" ht="12.75" customHeight="1" s="156"/>
    <row r="216" ht="12.75" customHeight="1" s="156"/>
    <row r="217" ht="12.75" customHeight="1" s="156"/>
    <row r="218" ht="12.75" customHeight="1" s="156"/>
    <row r="219" ht="12.75" customHeight="1" s="156"/>
    <row r="220" ht="12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 paperSize="9" scale="66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selection activeCell="A1" sqref="A1"/>
    </sheetView>
  </sheetViews>
  <sheetFormatPr baseColWidth="10" defaultColWidth="14.5" defaultRowHeight="15" customHeight="1"/>
  <cols>
    <col width="37.83203125" customWidth="1" style="156" min="1" max="1"/>
    <col width="7.5" customWidth="1" style="156" min="2" max="2"/>
    <col width="9.83203125" customWidth="1" style="156" min="3" max="3"/>
    <col width="7.5" customWidth="1" style="156" min="4" max="4"/>
    <col width="9.83203125" customWidth="1" style="156" min="5" max="5"/>
    <col width="7.5" customWidth="1" style="156" min="6" max="6"/>
    <col width="9.83203125" customWidth="1" style="156" min="7" max="7"/>
    <col width="7.5" customWidth="1" style="156" min="8" max="8"/>
    <col width="9.83203125" customWidth="1" style="156" min="9" max="9"/>
    <col width="8" customWidth="1" style="156" min="10" max="10"/>
    <col width="9.83203125" customWidth="1" style="156" min="11" max="11"/>
    <col width="8.5" customWidth="1" style="156" min="12" max="12"/>
    <col width="9.83203125" customWidth="1" style="156" min="13" max="13"/>
    <col width="18.5" customWidth="1" style="156" min="14" max="14"/>
    <col width="11.5" customWidth="1" style="156" min="15" max="26"/>
  </cols>
  <sheetData>
    <row r="1" ht="12.75" customHeight="1" s="156">
      <c r="A1" s="231" t="inlineStr">
        <is>
          <t>FLUJO DE INGRESOS</t>
        </is>
      </c>
      <c r="B1" s="18" t="n"/>
      <c r="C1" s="22" t="n"/>
      <c r="D1" s="22" t="n"/>
      <c r="E1" s="22" t="n"/>
      <c r="F1" s="22" t="n"/>
      <c r="G1" s="18" t="n"/>
    </row>
    <row r="2" ht="12.75" customHeight="1" s="156">
      <c r="A2" s="56" t="n"/>
      <c r="B2" s="56" t="n"/>
      <c r="C2" s="22" t="n"/>
      <c r="D2" s="22" t="n"/>
      <c r="E2" s="22" t="n"/>
      <c r="F2" s="22" t="n"/>
      <c r="G2" s="18" t="n"/>
    </row>
    <row r="3" ht="12.75" customHeight="1" s="156">
      <c r="A3" s="171" t="inlineStr">
        <is>
          <t>Servicios Pagos</t>
        </is>
      </c>
      <c r="B3" s="172" t="inlineStr">
        <is>
          <t>mes 1</t>
        </is>
      </c>
      <c r="C3" s="173" t="inlineStr">
        <is>
          <t>mes 2</t>
        </is>
      </c>
      <c r="D3" s="172" t="inlineStr">
        <is>
          <t>mes 3</t>
        </is>
      </c>
      <c r="E3" s="172" t="inlineStr">
        <is>
          <t>mes 4</t>
        </is>
      </c>
      <c r="F3" s="172" t="inlineStr">
        <is>
          <t>mes 5</t>
        </is>
      </c>
      <c r="G3" s="172" t="inlineStr">
        <is>
          <t>mes 6</t>
        </is>
      </c>
      <c r="H3" s="172" t="inlineStr">
        <is>
          <t>mes 7</t>
        </is>
      </c>
      <c r="I3" s="172" t="inlineStr">
        <is>
          <t>mes 8</t>
        </is>
      </c>
      <c r="J3" s="172" t="inlineStr">
        <is>
          <t xml:space="preserve"> mes 9</t>
        </is>
      </c>
      <c r="K3" s="172" t="inlineStr">
        <is>
          <t>mes 10</t>
        </is>
      </c>
      <c r="L3" s="172" t="inlineStr">
        <is>
          <t>mes 11</t>
        </is>
      </c>
      <c r="M3" s="172" t="inlineStr">
        <is>
          <t>mes 12</t>
        </is>
      </c>
      <c r="N3" s="172" t="inlineStr">
        <is>
          <t>Acumulado Anual</t>
        </is>
      </c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ht="12.75" customHeight="1" s="156">
      <c r="A4" s="155" t="inlineStr">
        <is>
          <t>Unidades</t>
        </is>
      </c>
      <c r="B4" s="150">
        <f>B5/60000</f>
        <v/>
      </c>
      <c r="C4" s="150">
        <f>C5/60000</f>
        <v/>
      </c>
      <c r="D4" s="150">
        <f>D5/60000</f>
        <v/>
      </c>
      <c r="E4" s="150">
        <f>E5/60000</f>
        <v/>
      </c>
      <c r="F4" s="150">
        <f>F5/60000</f>
        <v/>
      </c>
      <c r="G4" s="150">
        <f>G5/60000</f>
        <v/>
      </c>
      <c r="H4" s="150">
        <f>H5/60000</f>
        <v/>
      </c>
      <c r="I4" s="150">
        <f>I5/60000</f>
        <v/>
      </c>
      <c r="J4" s="150">
        <f>J5/60000</f>
        <v/>
      </c>
      <c r="K4" s="150">
        <f>K5/60000</f>
        <v/>
      </c>
      <c r="L4" s="150">
        <f>L5/60000</f>
        <v/>
      </c>
      <c r="M4" s="150">
        <f>M5/60000</f>
        <v/>
      </c>
      <c r="N4" s="174">
        <f>SUM(B4:M4)</f>
        <v/>
      </c>
    </row>
    <row r="5" ht="12.75" customHeight="1" s="156">
      <c r="A5" s="155" t="inlineStr">
        <is>
          <t>Soluciones de Intra/Extranets</t>
        </is>
      </c>
      <c r="B5" s="175" t="n">
        <v>0</v>
      </c>
      <c r="C5" s="175" t="n">
        <v>60000</v>
      </c>
      <c r="D5" s="175" t="n">
        <v>0</v>
      </c>
      <c r="E5" s="175" t="n">
        <v>60000</v>
      </c>
      <c r="F5" s="175" t="n">
        <v>0</v>
      </c>
      <c r="G5" s="175" t="n">
        <v>60000</v>
      </c>
      <c r="H5" s="175" t="n">
        <v>0</v>
      </c>
      <c r="I5" s="175" t="n">
        <v>60000</v>
      </c>
      <c r="J5" s="175" t="n">
        <v>0</v>
      </c>
      <c r="K5" s="175" t="n">
        <v>60000</v>
      </c>
      <c r="L5" s="175" t="n">
        <v>0</v>
      </c>
      <c r="M5" s="175" t="n">
        <v>60000</v>
      </c>
      <c r="N5" s="176">
        <f>SUM(B5:M5)</f>
        <v/>
      </c>
    </row>
    <row r="6" ht="12.75" customHeight="1" s="156">
      <c r="A6" s="177" t="inlineStr">
        <is>
          <t>TOTAL INGRESOS</t>
        </is>
      </c>
      <c r="B6" s="178">
        <f>SUM(B5)</f>
        <v/>
      </c>
      <c r="C6" s="178">
        <f>SUM(C5)</f>
        <v/>
      </c>
      <c r="D6" s="178">
        <f>SUM(D5)</f>
        <v/>
      </c>
      <c r="E6" s="178">
        <f>SUM(E5)</f>
        <v/>
      </c>
      <c r="F6" s="178">
        <f>SUM(F5)</f>
        <v/>
      </c>
      <c r="G6" s="178">
        <f>SUM(G5)</f>
        <v/>
      </c>
      <c r="H6" s="178">
        <f>SUM(H5)</f>
        <v/>
      </c>
      <c r="I6" s="178">
        <f>SUM(I5)</f>
        <v/>
      </c>
      <c r="J6" s="178">
        <f>SUM(J5)</f>
        <v/>
      </c>
      <c r="K6" s="178">
        <f>SUM(K5)</f>
        <v/>
      </c>
      <c r="L6" s="178">
        <f>SUM(L5)</f>
        <v/>
      </c>
      <c r="M6" s="178">
        <f>SUM(M5)</f>
        <v/>
      </c>
      <c r="N6" s="178">
        <f>SUM(N5)</f>
        <v/>
      </c>
    </row>
    <row r="7" ht="12.75" customHeight="1" s="156"/>
    <row r="8" ht="12.75" customHeight="1" s="156">
      <c r="A8" s="231" t="inlineStr">
        <is>
          <t>FLUJO DE EGRESOS</t>
        </is>
      </c>
      <c r="B8" s="18" t="n"/>
      <c r="C8" s="22" t="n"/>
      <c r="D8" s="22" t="n"/>
      <c r="E8" s="22" t="n"/>
      <c r="F8" s="22" t="n"/>
      <c r="G8" s="18" t="n"/>
    </row>
    <row r="9" ht="12.75" customHeight="1" s="156">
      <c r="A9" s="56" t="n"/>
      <c r="B9" s="56" t="n"/>
      <c r="C9" s="22" t="n"/>
      <c r="D9" s="22" t="n"/>
      <c r="E9" s="22" t="n"/>
      <c r="F9" s="22" t="n"/>
      <c r="G9" s="18" t="n"/>
    </row>
    <row r="10" ht="12.75" customHeight="1" s="156">
      <c r="A10" s="177" t="inlineStr">
        <is>
          <t>Costos por desarrollo de Servicios</t>
        </is>
      </c>
      <c r="B10" s="172" t="inlineStr">
        <is>
          <t>mes 1</t>
        </is>
      </c>
      <c r="C10" s="173" t="inlineStr">
        <is>
          <t>mes 2</t>
        </is>
      </c>
      <c r="D10" s="172" t="inlineStr">
        <is>
          <t>mes 3</t>
        </is>
      </c>
      <c r="E10" s="172" t="inlineStr">
        <is>
          <t>mes 4</t>
        </is>
      </c>
      <c r="F10" s="172" t="inlineStr">
        <is>
          <t>mes 5</t>
        </is>
      </c>
      <c r="G10" s="172" t="inlineStr">
        <is>
          <t>mes 6</t>
        </is>
      </c>
      <c r="H10" s="172" t="inlineStr">
        <is>
          <t>mes 7</t>
        </is>
      </c>
      <c r="I10" s="172" t="inlineStr">
        <is>
          <t>mes 8</t>
        </is>
      </c>
      <c r="J10" s="172" t="inlineStr">
        <is>
          <t xml:space="preserve"> mes 9</t>
        </is>
      </c>
      <c r="K10" s="172" t="inlineStr">
        <is>
          <t>mes 10</t>
        </is>
      </c>
      <c r="L10" s="172" t="inlineStr">
        <is>
          <t>mes 11</t>
        </is>
      </c>
      <c r="M10" s="172" t="inlineStr">
        <is>
          <t>mes 12</t>
        </is>
      </c>
      <c r="N10" s="172" t="inlineStr">
        <is>
          <t>Acumulado Anual</t>
        </is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ht="12.75" customHeight="1" s="156">
      <c r="A11" s="113" t="inlineStr">
        <is>
          <t>Soluciones de Intra/Extranets
 - Basado en la Cotización del Pool de Compras (Top Group)</t>
        </is>
      </c>
      <c r="B11" s="175" t="n">
        <v>0</v>
      </c>
      <c r="C11" s="175" t="n">
        <v>30000</v>
      </c>
      <c r="D11" s="175" t="n">
        <v>0</v>
      </c>
      <c r="E11" s="175" t="n">
        <v>30000</v>
      </c>
      <c r="F11" s="175" t="n">
        <v>0</v>
      </c>
      <c r="G11" s="175" t="n">
        <v>30000</v>
      </c>
      <c r="H11" s="175" t="n">
        <v>0</v>
      </c>
      <c r="I11" s="175" t="n">
        <v>30000</v>
      </c>
      <c r="J11" s="175" t="n">
        <v>0</v>
      </c>
      <c r="K11" s="175" t="n">
        <v>30000</v>
      </c>
      <c r="L11" s="175" t="n">
        <v>0</v>
      </c>
      <c r="M11" s="175" t="n">
        <v>30000</v>
      </c>
      <c r="N11" s="176">
        <f>SUM(B11:M11)</f>
        <v/>
      </c>
    </row>
    <row r="12" ht="12.75" customHeight="1" s="156">
      <c r="A12" s="177" t="inlineStr">
        <is>
          <t>TOTAL COSTO DESARROLLO</t>
        </is>
      </c>
      <c r="B12" s="178">
        <f>SUM(B11)</f>
        <v/>
      </c>
      <c r="C12" s="178">
        <f>SUM(C11)</f>
        <v/>
      </c>
      <c r="D12" s="178">
        <f>SUM(D11)</f>
        <v/>
      </c>
      <c r="E12" s="178">
        <f>SUM(E11)</f>
        <v/>
      </c>
      <c r="F12" s="178">
        <f>SUM(F11)</f>
        <v/>
      </c>
      <c r="G12" s="178">
        <f>SUM(G11)</f>
        <v/>
      </c>
      <c r="H12" s="178">
        <f>SUM(H11)</f>
        <v/>
      </c>
      <c r="I12" s="178">
        <f>SUM(I11)</f>
        <v/>
      </c>
      <c r="J12" s="178">
        <f>SUM(J11)</f>
        <v/>
      </c>
      <c r="K12" s="178">
        <f>SUM(K11)</f>
        <v/>
      </c>
      <c r="L12" s="178">
        <f>SUM(L11)</f>
        <v/>
      </c>
      <c r="M12" s="178">
        <f>SUM(M11)</f>
        <v/>
      </c>
      <c r="N12" s="178">
        <f>SUM(N11)</f>
        <v/>
      </c>
    </row>
    <row r="13" ht="12.75" customHeight="1" s="156"/>
    <row r="14" ht="12.75" customHeight="1" s="156">
      <c r="A14" s="171" t="inlineStr">
        <is>
          <t>INGRESOS NETOS INTRA/EXTRANETS</t>
        </is>
      </c>
      <c r="B14" s="178">
        <f>B6-B12</f>
        <v/>
      </c>
      <c r="C14" s="178">
        <f>C6-C12</f>
        <v/>
      </c>
      <c r="D14" s="178">
        <f>D6-D12</f>
        <v/>
      </c>
      <c r="E14" s="178">
        <f>E6-E12</f>
        <v/>
      </c>
      <c r="F14" s="178">
        <f>F6-F12</f>
        <v/>
      </c>
      <c r="G14" s="178">
        <f>G6-G12</f>
        <v/>
      </c>
      <c r="H14" s="178">
        <f>H6-H12</f>
        <v/>
      </c>
      <c r="I14" s="178">
        <f>I6-I12</f>
        <v/>
      </c>
      <c r="J14" s="178">
        <f>J6-J12</f>
        <v/>
      </c>
      <c r="K14" s="178">
        <f>K6-K12</f>
        <v/>
      </c>
      <c r="L14" s="178">
        <f>L6-L12</f>
        <v/>
      </c>
      <c r="M14" s="178">
        <f>M6-M12</f>
        <v/>
      </c>
      <c r="N14" s="178">
        <f>N6-N12</f>
        <v/>
      </c>
    </row>
    <row r="15" ht="12.75" customHeight="1" s="156"/>
    <row r="16" ht="12.75" customHeight="1" s="156">
      <c r="A16" s="177" t="inlineStr">
        <is>
          <t>DISTRIBUCION ESTIM. DE VENTAS</t>
        </is>
      </c>
      <c r="B16" s="172" t="inlineStr">
        <is>
          <t>mes 1</t>
        </is>
      </c>
      <c r="C16" s="173" t="inlineStr">
        <is>
          <t>mes 2</t>
        </is>
      </c>
      <c r="D16" s="172" t="inlineStr">
        <is>
          <t>mes 3</t>
        </is>
      </c>
      <c r="E16" s="172" t="inlineStr">
        <is>
          <t>mes 4</t>
        </is>
      </c>
      <c r="F16" s="172" t="inlineStr">
        <is>
          <t>mes 5</t>
        </is>
      </c>
      <c r="G16" s="172" t="inlineStr">
        <is>
          <t>mes 6</t>
        </is>
      </c>
      <c r="H16" s="172" t="inlineStr">
        <is>
          <t>mes 7</t>
        </is>
      </c>
      <c r="I16" s="172" t="inlineStr">
        <is>
          <t>mes 8</t>
        </is>
      </c>
      <c r="J16" s="172" t="inlineStr">
        <is>
          <t xml:space="preserve"> mes 9</t>
        </is>
      </c>
      <c r="K16" s="172" t="inlineStr">
        <is>
          <t>mes 10</t>
        </is>
      </c>
      <c r="L16" s="172" t="inlineStr">
        <is>
          <t>mes 11</t>
        </is>
      </c>
      <c r="M16" s="172" t="inlineStr">
        <is>
          <t>mes 12</t>
        </is>
      </c>
    </row>
    <row r="17" ht="12.75" customHeight="1" s="156">
      <c r="A17" s="101" t="inlineStr">
        <is>
          <t>Comisión por ventas Directas no tel.</t>
        </is>
      </c>
      <c r="B17" s="179" t="n">
        <v>1</v>
      </c>
      <c r="C17" s="179" t="n">
        <v>1</v>
      </c>
      <c r="D17" s="179" t="n">
        <v>1</v>
      </c>
      <c r="E17" s="179" t="n">
        <v>1</v>
      </c>
      <c r="F17" s="179" t="n">
        <v>1</v>
      </c>
      <c r="G17" s="179" t="n">
        <v>1</v>
      </c>
      <c r="H17" s="179" t="n">
        <v>1</v>
      </c>
      <c r="I17" s="179" t="n">
        <v>1</v>
      </c>
      <c r="J17" s="179" t="n">
        <v>1</v>
      </c>
      <c r="K17" s="179" t="n">
        <v>1</v>
      </c>
      <c r="L17" s="179" t="n">
        <v>1</v>
      </c>
      <c r="M17" s="179" t="n">
        <v>1</v>
      </c>
    </row>
    <row r="18" ht="12.75" customHeight="1" s="156">
      <c r="A18" s="101" t="inlineStr">
        <is>
          <t>Comisión por ventas Telefónicas</t>
        </is>
      </c>
      <c r="B18" s="179" t="n">
        <v>0</v>
      </c>
      <c r="C18" s="179" t="n">
        <v>0</v>
      </c>
      <c r="D18" s="179" t="n">
        <v>0</v>
      </c>
      <c r="E18" s="179" t="n">
        <v>0</v>
      </c>
      <c r="F18" s="179" t="n">
        <v>0</v>
      </c>
      <c r="G18" s="179" t="n">
        <v>0</v>
      </c>
      <c r="H18" s="179" t="n">
        <v>0</v>
      </c>
      <c r="I18" s="179" t="n">
        <v>0</v>
      </c>
      <c r="J18" s="179" t="n">
        <v>0</v>
      </c>
      <c r="K18" s="179" t="n">
        <v>0</v>
      </c>
      <c r="L18" s="179" t="n">
        <v>0</v>
      </c>
      <c r="M18" s="179" t="n">
        <v>0</v>
      </c>
    </row>
    <row r="19" ht="12.75" customHeight="1" s="156">
      <c r="A19" s="101" t="inlineStr">
        <is>
          <t>Comisión por ventas Indirectas</t>
        </is>
      </c>
      <c r="B19" s="179" t="n">
        <v>0</v>
      </c>
      <c r="C19" s="179" t="n">
        <v>0</v>
      </c>
      <c r="D19" s="179" t="n">
        <v>0</v>
      </c>
      <c r="E19" s="179" t="n">
        <v>0</v>
      </c>
      <c r="F19" s="179" t="n">
        <v>0</v>
      </c>
      <c r="G19" s="179" t="n">
        <v>0</v>
      </c>
      <c r="H19" s="179" t="n">
        <v>0</v>
      </c>
      <c r="I19" s="179" t="n">
        <v>0</v>
      </c>
      <c r="J19" s="179" t="n">
        <v>0</v>
      </c>
      <c r="K19" s="179" t="n">
        <v>0</v>
      </c>
      <c r="L19" s="179" t="n">
        <v>0</v>
      </c>
      <c r="M19" s="179" t="n">
        <v>0</v>
      </c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2.75" customHeight="1" s="156">
      <c r="A20" s="177" t="inlineStr">
        <is>
          <t>TOTAL COMISION A CANALES</t>
        </is>
      </c>
      <c r="B20" s="180">
        <f>SUM(B17:B19)</f>
        <v/>
      </c>
      <c r="C20" s="180">
        <f>SUM(C17:C19)</f>
        <v/>
      </c>
      <c r="D20" s="180">
        <f>SUM(D17:D19)</f>
        <v/>
      </c>
      <c r="E20" s="180">
        <f>SUM(E17:E19)</f>
        <v/>
      </c>
      <c r="F20" s="180">
        <f>SUM(F17:F19)</f>
        <v/>
      </c>
      <c r="G20" s="180">
        <f>SUM(G17:G19)</f>
        <v/>
      </c>
      <c r="H20" s="180">
        <f>SUM(H17:H19)</f>
        <v/>
      </c>
      <c r="I20" s="180">
        <f>SUM(I17:I19)</f>
        <v/>
      </c>
      <c r="J20" s="180">
        <f>SUM(J17:J19)</f>
        <v/>
      </c>
      <c r="K20" s="180">
        <f>SUM(K17:K19)</f>
        <v/>
      </c>
      <c r="L20" s="180">
        <f>SUM(L17:L19)</f>
        <v/>
      </c>
      <c r="M20" s="180">
        <f>SUM(M17:M19)</f>
        <v/>
      </c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2.75" customHeight="1" s="156"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2.75" customHeight="1" s="156">
      <c r="A22" s="177" t="inlineStr">
        <is>
          <t>COMISIONES POR VENTAS</t>
        </is>
      </c>
      <c r="B22" s="172" t="inlineStr">
        <is>
          <t>mes 1</t>
        </is>
      </c>
      <c r="C22" s="173" t="inlineStr">
        <is>
          <t>mes 2</t>
        </is>
      </c>
      <c r="D22" s="172" t="inlineStr">
        <is>
          <t>mes 3</t>
        </is>
      </c>
      <c r="E22" s="172" t="inlineStr">
        <is>
          <t>mes 4</t>
        </is>
      </c>
      <c r="F22" s="172" t="inlineStr">
        <is>
          <t>mes 5</t>
        </is>
      </c>
      <c r="G22" s="172" t="inlineStr">
        <is>
          <t>mes 6</t>
        </is>
      </c>
      <c r="H22" s="172" t="inlineStr">
        <is>
          <t>mes 7</t>
        </is>
      </c>
      <c r="I22" s="172" t="inlineStr">
        <is>
          <t>mes 8</t>
        </is>
      </c>
      <c r="J22" s="172" t="inlineStr">
        <is>
          <t xml:space="preserve"> mes 9</t>
        </is>
      </c>
      <c r="K22" s="172" t="inlineStr">
        <is>
          <t>mes 10</t>
        </is>
      </c>
      <c r="L22" s="172" t="inlineStr">
        <is>
          <t>mes 11</t>
        </is>
      </c>
      <c r="M22" s="172" t="inlineStr">
        <is>
          <t>mes 12</t>
        </is>
      </c>
      <c r="N22" s="172" t="inlineStr">
        <is>
          <t>Acumulado Anual</t>
        </is>
      </c>
    </row>
    <row r="23" ht="12.75" customHeight="1" s="156">
      <c r="A23" s="101" t="inlineStr">
        <is>
          <t>Comisión por ventas Directas no tel.</t>
        </is>
      </c>
      <c r="B23" s="179" t="n">
        <v>0.05</v>
      </c>
      <c r="C23" s="179" t="n">
        <v>0.05</v>
      </c>
      <c r="D23" s="179" t="n">
        <v>0.05</v>
      </c>
      <c r="E23" s="179" t="n">
        <v>0.05</v>
      </c>
      <c r="F23" s="179" t="n">
        <v>0.05</v>
      </c>
      <c r="G23" s="179" t="n">
        <v>0.05</v>
      </c>
      <c r="H23" s="179" t="n">
        <v>0.05</v>
      </c>
      <c r="I23" s="179" t="n">
        <v>0.05</v>
      </c>
      <c r="J23" s="179" t="n">
        <v>0.05</v>
      </c>
      <c r="K23" s="179" t="n">
        <v>0.05</v>
      </c>
      <c r="L23" s="179" t="n">
        <v>0.05</v>
      </c>
      <c r="M23" s="179" t="n">
        <v>0.05</v>
      </c>
      <c r="N23" s="179" t="n"/>
    </row>
    <row r="24" ht="12.75" customHeight="1" s="156">
      <c r="A24" s="101" t="inlineStr">
        <is>
          <t>Comisión por ventas Telefónicas</t>
        </is>
      </c>
      <c r="B24" s="179" t="n">
        <v>0.05</v>
      </c>
      <c r="C24" s="179" t="n">
        <v>0.05</v>
      </c>
      <c r="D24" s="179" t="n">
        <v>0.05</v>
      </c>
      <c r="E24" s="179" t="n">
        <v>0.05</v>
      </c>
      <c r="F24" s="179" t="n">
        <v>0.05</v>
      </c>
      <c r="G24" s="179" t="n">
        <v>0.05</v>
      </c>
      <c r="H24" s="179" t="n">
        <v>0.05</v>
      </c>
      <c r="I24" s="179" t="n">
        <v>0.05</v>
      </c>
      <c r="J24" s="179" t="n">
        <v>0.05</v>
      </c>
      <c r="K24" s="179" t="n">
        <v>0.05</v>
      </c>
      <c r="L24" s="179" t="n">
        <v>0.05</v>
      </c>
      <c r="M24" s="179" t="n">
        <v>0.05</v>
      </c>
      <c r="N24" s="179" t="n"/>
    </row>
    <row r="25" ht="12.75" customHeight="1" s="156">
      <c r="A25" s="101" t="inlineStr">
        <is>
          <t>Comisión por ventas Indirectas</t>
        </is>
      </c>
      <c r="B25" s="179" t="n">
        <v>0.05</v>
      </c>
      <c r="C25" s="179" t="n">
        <v>0.05</v>
      </c>
      <c r="D25" s="179" t="n">
        <v>0.05</v>
      </c>
      <c r="E25" s="179" t="n">
        <v>0.05</v>
      </c>
      <c r="F25" s="179" t="n">
        <v>0.05</v>
      </c>
      <c r="G25" s="179" t="n">
        <v>0.05</v>
      </c>
      <c r="H25" s="179" t="n">
        <v>0.05</v>
      </c>
      <c r="I25" s="179" t="n">
        <v>0.05</v>
      </c>
      <c r="J25" s="179" t="n">
        <v>0.05</v>
      </c>
      <c r="K25" s="179" t="n">
        <v>0.05</v>
      </c>
      <c r="L25" s="179" t="n">
        <v>0.05</v>
      </c>
      <c r="M25" s="179" t="n">
        <v>0.05</v>
      </c>
      <c r="N25" s="179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2.75" customHeight="1" s="156">
      <c r="A26" s="177" t="inlineStr">
        <is>
          <t>TOTAL COMISION A CANALES</t>
        </is>
      </c>
      <c r="B26" s="178">
        <f>B6*(B17*B23+B18*B24+B19*B25)</f>
        <v/>
      </c>
      <c r="C26" s="178">
        <f>C6*(C17*C23+C18*C24+C19*C25)</f>
        <v/>
      </c>
      <c r="D26" s="178">
        <f>D6*(D17*D23+D18*D24+D19*D25)</f>
        <v/>
      </c>
      <c r="E26" s="178">
        <f>E6*(E17*E23+E18*E24+E19*E25)</f>
        <v/>
      </c>
      <c r="F26" s="178">
        <f>F6*(F17*F23+F18*F24+F19*F25)</f>
        <v/>
      </c>
      <c r="G26" s="178">
        <f>G6*(G17*G23+G18*G24+G19*G25)</f>
        <v/>
      </c>
      <c r="H26" s="178">
        <f>H6*(H17*H23+H18*H24+H19*H25)</f>
        <v/>
      </c>
      <c r="I26" s="178">
        <f>I6*(I17*I23+I18*I24+I19*I25)</f>
        <v/>
      </c>
      <c r="J26" s="178">
        <f>J6*(J17*J23+J18*J24+J19*J25)</f>
        <v/>
      </c>
      <c r="K26" s="178">
        <f>K6*(K17*K23+K18*K24+K19*K25)</f>
        <v/>
      </c>
      <c r="L26" s="178">
        <f>L6*(L17*L23+L18*L24+L19*L25)</f>
        <v/>
      </c>
      <c r="M26" s="178">
        <f>M6*(M17*M23+M18*M24+M19*M25)</f>
        <v/>
      </c>
      <c r="N26" s="178">
        <f>SUM(B26:M26)</f>
        <v/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2.75" customHeight="1" s="156"/>
    <row r="28" ht="12.75" customHeight="1" s="156"/>
    <row r="29" ht="12.75" customHeight="1" s="156"/>
    <row r="30" ht="12.75" customHeight="1" s="156"/>
    <row r="31" ht="12.75" customHeight="1" s="156"/>
    <row r="32" ht="12.75" customHeight="1" s="156"/>
    <row r="33" ht="12.75" customHeight="1" s="156"/>
    <row r="34" ht="12.75" customHeight="1" s="156"/>
    <row r="35" ht="12.75" customHeight="1" s="156"/>
    <row r="36" ht="12.75" customHeight="1" s="156"/>
    <row r="37" ht="12.75" customHeight="1" s="156"/>
    <row r="38" ht="12.75" customHeight="1" s="156"/>
    <row r="39" ht="12.75" customHeight="1" s="156"/>
    <row r="40" ht="12.75" customHeight="1" s="156"/>
    <row r="41" ht="12.75" customHeight="1" s="156"/>
    <row r="42" ht="12.75" customHeight="1" s="156"/>
    <row r="43" ht="12.75" customHeight="1" s="156"/>
    <row r="44" ht="12.75" customHeight="1" s="156"/>
    <row r="45" ht="12.75" customHeight="1" s="156"/>
    <row r="46" ht="12.75" customHeight="1" s="156"/>
    <row r="47" ht="12.75" customHeight="1" s="156"/>
    <row r="48" ht="12.75" customHeight="1" s="156"/>
    <row r="49" ht="12.75" customHeight="1" s="156"/>
    <row r="50" ht="12.75" customHeight="1" s="156"/>
    <row r="51" ht="12.75" customHeight="1" s="156"/>
    <row r="52" ht="12.75" customHeight="1" s="156"/>
    <row r="53" ht="12.75" customHeight="1" s="156"/>
    <row r="54" ht="12.75" customHeight="1" s="156"/>
    <row r="55" ht="12.75" customHeight="1" s="156"/>
    <row r="56" ht="12.75" customHeight="1" s="156"/>
    <row r="57" ht="12.75" customHeight="1" s="156"/>
    <row r="58" ht="12.75" customHeight="1" s="156"/>
    <row r="59" ht="12.75" customHeight="1" s="156"/>
    <row r="60" ht="12.75" customHeight="1" s="156"/>
    <row r="61" ht="12.75" customHeight="1" s="156"/>
    <row r="62" ht="12.75" customHeight="1" s="156"/>
    <row r="63" ht="12.75" customHeight="1" s="156"/>
    <row r="64" ht="12.75" customHeight="1" s="156"/>
    <row r="65" ht="12.75" customHeight="1" s="156"/>
    <row r="66" ht="12.75" customHeight="1" s="156"/>
    <row r="67" ht="12.75" customHeight="1" s="156"/>
    <row r="68" ht="12.75" customHeight="1" s="156"/>
    <row r="69" ht="12.75" customHeight="1" s="156"/>
    <row r="70" ht="12.75" customHeight="1" s="156"/>
    <row r="71" ht="12.75" customHeight="1" s="156"/>
    <row r="72" ht="12.75" customHeight="1" s="156"/>
    <row r="73" ht="12.75" customHeight="1" s="156"/>
    <row r="74" ht="12.75" customHeight="1" s="156"/>
    <row r="75" ht="12.75" customHeight="1" s="156"/>
    <row r="76" ht="12.75" customHeight="1" s="156"/>
    <row r="77" ht="12.75" customHeight="1" s="156"/>
    <row r="78" ht="12.75" customHeight="1" s="156"/>
    <row r="79" ht="12.75" customHeight="1" s="156"/>
    <row r="80" ht="12.75" customHeight="1" s="156"/>
    <row r="81" ht="12.75" customHeight="1" s="156"/>
    <row r="82" ht="12.75" customHeight="1" s="156"/>
    <row r="83" ht="12.75" customHeight="1" s="156"/>
    <row r="84" ht="12.75" customHeight="1" s="156"/>
    <row r="85" ht="12.75" customHeight="1" s="156"/>
    <row r="86" ht="12.75" customHeight="1" s="156"/>
    <row r="87" ht="12.75" customHeight="1" s="156"/>
    <row r="88" ht="12.75" customHeight="1" s="156"/>
    <row r="89" ht="12.75" customHeight="1" s="156"/>
    <row r="90" ht="12.75" customHeight="1" s="156"/>
    <row r="91" ht="12.75" customHeight="1" s="156"/>
    <row r="92" ht="12.75" customHeight="1" s="156"/>
    <row r="93" ht="12.75" customHeight="1" s="156"/>
    <row r="94" ht="12.75" customHeight="1" s="156"/>
    <row r="95" ht="12.75" customHeight="1" s="156"/>
    <row r="96" ht="12.75" customHeight="1" s="156"/>
    <row r="97" ht="12.75" customHeight="1" s="156"/>
    <row r="98" ht="12.75" customHeight="1" s="156"/>
    <row r="99" ht="12.75" customHeight="1" s="156"/>
    <row r="100" ht="12.75" customHeight="1" s="156"/>
    <row r="101" ht="12.75" customHeight="1" s="156"/>
    <row r="102" ht="12.75" customHeight="1" s="156"/>
    <row r="103" ht="12.75" customHeight="1" s="156"/>
    <row r="104" ht="12.75" customHeight="1" s="156"/>
    <row r="105" ht="12.75" customHeight="1" s="156"/>
    <row r="106" ht="12.75" customHeight="1" s="156"/>
    <row r="107" ht="12.75" customHeight="1" s="156"/>
    <row r="108" ht="12.75" customHeight="1" s="156"/>
    <row r="109" ht="12.75" customHeight="1" s="156"/>
    <row r="110" ht="12.75" customHeight="1" s="156"/>
    <row r="111" ht="12.75" customHeight="1" s="156"/>
    <row r="112" ht="12.75" customHeight="1" s="156"/>
    <row r="113" ht="12.75" customHeight="1" s="156"/>
    <row r="114" ht="12.75" customHeight="1" s="156"/>
    <row r="115" ht="12.75" customHeight="1" s="156"/>
    <row r="116" ht="12.75" customHeight="1" s="156"/>
    <row r="117" ht="12.75" customHeight="1" s="156"/>
    <row r="118" ht="12.75" customHeight="1" s="156"/>
    <row r="119" ht="12.75" customHeight="1" s="156"/>
    <row r="120" ht="12.75" customHeight="1" s="156"/>
    <row r="121" ht="12.75" customHeight="1" s="156"/>
    <row r="122" ht="12.75" customHeight="1" s="156"/>
    <row r="123" ht="12.75" customHeight="1" s="156"/>
    <row r="124" ht="12.75" customHeight="1" s="156"/>
    <row r="125" ht="12.75" customHeight="1" s="156"/>
    <row r="126" ht="12.75" customHeight="1" s="156"/>
    <row r="127" ht="12.75" customHeight="1" s="156"/>
    <row r="128" ht="12.75" customHeight="1" s="156"/>
    <row r="129" ht="12.75" customHeight="1" s="156"/>
    <row r="130" ht="12.75" customHeight="1" s="156"/>
    <row r="131" ht="12.75" customHeight="1" s="156"/>
    <row r="132" ht="12.75" customHeight="1" s="156"/>
    <row r="133" ht="12.75" customHeight="1" s="156"/>
    <row r="134" ht="12.75" customHeight="1" s="156"/>
    <row r="135" ht="12.75" customHeight="1" s="156"/>
    <row r="136" ht="12.75" customHeight="1" s="156"/>
    <row r="137" ht="12.75" customHeight="1" s="156"/>
    <row r="138" ht="12.75" customHeight="1" s="156"/>
    <row r="139" ht="12.75" customHeight="1" s="156"/>
    <row r="140" ht="12.75" customHeight="1" s="156"/>
    <row r="141" ht="12.75" customHeight="1" s="156"/>
    <row r="142" ht="12.75" customHeight="1" s="156"/>
    <row r="143" ht="12.75" customHeight="1" s="156"/>
    <row r="144" ht="12.75" customHeight="1" s="156"/>
    <row r="145" ht="12.75" customHeight="1" s="156"/>
    <row r="146" ht="12.75" customHeight="1" s="156"/>
    <row r="147" ht="12.75" customHeight="1" s="156"/>
    <row r="148" ht="12.75" customHeight="1" s="156"/>
    <row r="149" ht="12.75" customHeight="1" s="156"/>
    <row r="150" ht="12.75" customHeight="1" s="156"/>
    <row r="151" ht="12.75" customHeight="1" s="156"/>
    <row r="152" ht="12.75" customHeight="1" s="156"/>
    <row r="153" ht="12.75" customHeight="1" s="156"/>
    <row r="154" ht="12.75" customHeight="1" s="156"/>
    <row r="155" ht="12.75" customHeight="1" s="156"/>
    <row r="156" ht="12.75" customHeight="1" s="156"/>
    <row r="157" ht="12.75" customHeight="1" s="156"/>
    <row r="158" ht="12.75" customHeight="1" s="156"/>
    <row r="159" ht="12.75" customHeight="1" s="156"/>
    <row r="160" ht="12.75" customHeight="1" s="156"/>
    <row r="161" ht="12.75" customHeight="1" s="156"/>
    <row r="162" ht="12.75" customHeight="1" s="156"/>
    <row r="163" ht="12.75" customHeight="1" s="156"/>
    <row r="164" ht="12.75" customHeight="1" s="156"/>
    <row r="165" ht="12.75" customHeight="1" s="156"/>
    <row r="166" ht="12.75" customHeight="1" s="156"/>
    <row r="167" ht="12.75" customHeight="1" s="156"/>
    <row r="168" ht="12.75" customHeight="1" s="156"/>
    <row r="169" ht="12.75" customHeight="1" s="156"/>
    <row r="170" ht="12.75" customHeight="1" s="156"/>
    <row r="171" ht="12.75" customHeight="1" s="156"/>
    <row r="172" ht="12.75" customHeight="1" s="156"/>
    <row r="173" ht="12.75" customHeight="1" s="156"/>
    <row r="174" ht="12.75" customHeight="1" s="156"/>
    <row r="175" ht="12.75" customHeight="1" s="156"/>
    <row r="176" ht="12.75" customHeight="1" s="156"/>
    <row r="177" ht="12.75" customHeight="1" s="156"/>
    <row r="178" ht="12.75" customHeight="1" s="156"/>
    <row r="179" ht="12.75" customHeight="1" s="156"/>
    <row r="180" ht="12.75" customHeight="1" s="156"/>
    <row r="181" ht="12.75" customHeight="1" s="156"/>
    <row r="182" ht="12.75" customHeight="1" s="156"/>
    <row r="183" ht="12.75" customHeight="1" s="156"/>
    <row r="184" ht="12.75" customHeight="1" s="156"/>
    <row r="185" ht="12.75" customHeight="1" s="156"/>
    <row r="186" ht="12.75" customHeight="1" s="156"/>
    <row r="187" ht="12.75" customHeight="1" s="156"/>
    <row r="188" ht="12.75" customHeight="1" s="156"/>
    <row r="189" ht="12.75" customHeight="1" s="156"/>
    <row r="190" ht="12.75" customHeight="1" s="156"/>
    <row r="191" ht="12.75" customHeight="1" s="156"/>
    <row r="192" ht="12.75" customHeight="1" s="156"/>
    <row r="193" ht="12.75" customHeight="1" s="156"/>
    <row r="194" ht="12.75" customHeight="1" s="156"/>
    <row r="195" ht="12.75" customHeight="1" s="156"/>
    <row r="196" ht="12.75" customHeight="1" s="156"/>
    <row r="197" ht="12.75" customHeight="1" s="156"/>
    <row r="198" ht="12.75" customHeight="1" s="156"/>
    <row r="199" ht="12.75" customHeight="1" s="156"/>
    <row r="200" ht="12.75" customHeight="1" s="156"/>
    <row r="201" ht="12.75" customHeight="1" s="156"/>
    <row r="202" ht="12.75" customHeight="1" s="156"/>
    <row r="203" ht="12.75" customHeight="1" s="156"/>
    <row r="204" ht="12.75" customHeight="1" s="156"/>
    <row r="205" ht="12.75" customHeight="1" s="156"/>
    <row r="206" ht="12.75" customHeight="1" s="156"/>
    <row r="207" ht="12.75" customHeight="1" s="156"/>
    <row r="208" ht="12.75" customHeight="1" s="156"/>
    <row r="209" ht="12.75" customHeight="1" s="156"/>
    <row r="210" ht="12.75" customHeight="1" s="156"/>
    <row r="211" ht="12.75" customHeight="1" s="156"/>
    <row r="212" ht="12.75" customHeight="1" s="156"/>
    <row r="213" ht="12.75" customHeight="1" s="156"/>
    <row r="214" ht="12.75" customHeight="1" s="156"/>
    <row r="215" ht="12.75" customHeight="1" s="156"/>
    <row r="216" ht="12.75" customHeight="1" s="156"/>
    <row r="217" ht="12.75" customHeight="1" s="156"/>
    <row r="218" ht="12.75" customHeight="1" s="156"/>
    <row r="219" ht="12.75" customHeight="1" s="156"/>
    <row r="220" ht="12.75" customHeight="1" s="156"/>
    <row r="221" ht="12.75" customHeight="1" s="156"/>
    <row r="222" ht="12.75" customHeight="1" s="156"/>
    <row r="223" ht="12.75" customHeight="1" s="156"/>
    <row r="224" ht="12.75" customHeight="1" s="156"/>
    <row r="225" ht="12.75" customHeight="1" s="156"/>
    <row r="226" ht="12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rintOptions horizontalCentered="1" verticalCentered="1"/>
  <pageMargins left="0.2" right="0.21" top="0.7874015748031497" bottom="0.7874015748031497" header="0" footer="0"/>
  <pageSetup orientation="landscape" paperSize="9" scale="90"/>
  <headerFooter>
    <oddHeader/>
    <oddFooter>&amp;RPágina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selection activeCell="A1" sqref="A1"/>
    </sheetView>
  </sheetViews>
  <sheetFormatPr baseColWidth="10" defaultColWidth="14.5" defaultRowHeight="15" customHeight="1"/>
  <cols>
    <col width="36.1640625" customWidth="1" style="156" min="1" max="1"/>
    <col width="15.33203125" customWidth="1" style="156" min="2" max="7"/>
    <col width="11.5" customWidth="1" style="156" min="8" max="26"/>
  </cols>
  <sheetData>
    <row r="1" ht="12.75" customHeight="1" s="156">
      <c r="A1" s="181" t="inlineStr">
        <is>
          <t>CUADRO DE RESULTADOS</t>
        </is>
      </c>
      <c r="B1" s="15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 ht="12.75" customHeight="1" s="156">
      <c r="A2" s="18" t="n"/>
      <c r="B2" s="18" t="n"/>
      <c r="C2" s="18" t="n"/>
      <c r="D2" s="18" t="n"/>
      <c r="E2" s="18" t="n"/>
      <c r="F2" s="232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12.75" customHeight="1" s="156">
      <c r="A3" s="233" t="inlineStr">
        <is>
          <t>FLUJO DE FONDOS PROYECTADO A 12 MESES</t>
        </is>
      </c>
      <c r="B3" s="234" t="n"/>
      <c r="C3" s="234" t="n"/>
      <c r="D3" s="234" t="n"/>
      <c r="E3" s="234" t="n"/>
      <c r="F3" s="234" t="n"/>
      <c r="G3" s="234" t="n"/>
      <c r="H3" s="234" t="n"/>
      <c r="I3" s="234" t="n"/>
      <c r="J3" s="234" t="n"/>
      <c r="K3" s="234" t="n"/>
      <c r="L3" s="234" t="n"/>
      <c r="M3" s="234" t="n"/>
      <c r="N3" s="234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 ht="12.75" customHeight="1" s="156">
      <c r="A4" s="56" t="n"/>
      <c r="B4" s="182" t="n"/>
      <c r="C4" s="182" t="n"/>
      <c r="D4" s="182" t="n"/>
      <c r="E4" s="182" t="n"/>
      <c r="F4" s="182" t="n"/>
      <c r="G4" s="182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 ht="12.75" customHeight="1" s="156">
      <c r="A5" s="68" t="n"/>
      <c r="B5" s="290" t="inlineStr">
        <is>
          <t>Momento Inicial</t>
        </is>
      </c>
      <c r="C5" s="184" t="inlineStr">
        <is>
          <t>Mes 1</t>
        </is>
      </c>
      <c r="D5" s="184" t="inlineStr">
        <is>
          <t>Mes 2</t>
        </is>
      </c>
      <c r="E5" s="184" t="inlineStr">
        <is>
          <t>Mes 3</t>
        </is>
      </c>
      <c r="F5" s="184" t="inlineStr">
        <is>
          <t>Mes 4</t>
        </is>
      </c>
      <c r="G5" s="184" t="inlineStr">
        <is>
          <t>Mes 5</t>
        </is>
      </c>
      <c r="H5" s="184" t="inlineStr">
        <is>
          <t>Mes 6</t>
        </is>
      </c>
      <c r="I5" s="184" t="inlineStr">
        <is>
          <t>Mes 7</t>
        </is>
      </c>
      <c r="J5" s="184" t="inlineStr">
        <is>
          <t>Mes 8</t>
        </is>
      </c>
      <c r="K5" s="184" t="inlineStr">
        <is>
          <t>Mes 9</t>
        </is>
      </c>
      <c r="L5" s="184" t="inlineStr">
        <is>
          <t>Mes 10</t>
        </is>
      </c>
      <c r="M5" s="184" t="inlineStr">
        <is>
          <t>Mes 11</t>
        </is>
      </c>
      <c r="N5" s="184" t="inlineStr">
        <is>
          <t>Mes 12</t>
        </is>
      </c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</row>
    <row r="6" ht="12.75" customHeight="1" s="156">
      <c r="A6" s="18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 ht="12.75" customHeight="1" s="156">
      <c r="A7" s="192" t="inlineStr">
        <is>
          <t>TOTAL INGRESOS</t>
        </is>
      </c>
      <c r="B7" s="235" t="n">
        <v>0</v>
      </c>
      <c r="C7" s="235">
        <f>#REF!</f>
        <v/>
      </c>
      <c r="D7" s="235">
        <f>#REF!</f>
        <v/>
      </c>
      <c r="E7" s="235">
        <f>#REF!</f>
        <v/>
      </c>
      <c r="F7" s="235">
        <f>#REF!</f>
        <v/>
      </c>
      <c r="G7" s="235">
        <f>#REF!</f>
        <v/>
      </c>
      <c r="H7" s="235">
        <f>#REF!</f>
        <v/>
      </c>
      <c r="I7" s="235">
        <f>#REF!</f>
        <v/>
      </c>
      <c r="J7" s="235">
        <f>#REF!</f>
        <v/>
      </c>
      <c r="K7" s="235">
        <f>#REF!</f>
        <v/>
      </c>
      <c r="L7" s="235">
        <f>#REF!</f>
        <v/>
      </c>
      <c r="M7" s="235">
        <f>#REF!</f>
        <v/>
      </c>
      <c r="N7" s="235">
        <f>#REF!</f>
        <v/>
      </c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 ht="12.75" customHeight="1" s="156">
      <c r="A8" s="18" t="n"/>
      <c r="B8" s="185" t="n"/>
      <c r="C8" s="185" t="n"/>
      <c r="D8" s="185" t="n"/>
      <c r="E8" s="185" t="n"/>
      <c r="F8" s="185" t="n"/>
      <c r="G8" s="185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ht="12.75" customHeight="1" s="156">
      <c r="A9" s="236" t="inlineStr">
        <is>
          <t>TOTAL EGRESOS</t>
        </is>
      </c>
      <c r="B9" s="235">
        <f>#REF!</f>
        <v/>
      </c>
      <c r="C9" s="235">
        <f>#REF!</f>
        <v/>
      </c>
      <c r="D9" s="235">
        <f>#REF!</f>
        <v/>
      </c>
      <c r="E9" s="235">
        <f>#REF!</f>
        <v/>
      </c>
      <c r="F9" s="235">
        <f>#REF!</f>
        <v/>
      </c>
      <c r="G9" s="235">
        <f>#REF!</f>
        <v/>
      </c>
      <c r="H9" s="235">
        <f>#REF!</f>
        <v/>
      </c>
      <c r="I9" s="235">
        <f>#REF!</f>
        <v/>
      </c>
      <c r="J9" s="235">
        <f>#REF!</f>
        <v/>
      </c>
      <c r="K9" s="235">
        <f>#REF!</f>
        <v/>
      </c>
      <c r="L9" s="235">
        <f>#REF!</f>
        <v/>
      </c>
      <c r="M9" s="235">
        <f>#REF!</f>
        <v/>
      </c>
      <c r="N9" s="235">
        <f>#REF!</f>
        <v/>
      </c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 ht="12.75" customHeight="1" s="156">
      <c r="A10" s="18" t="n"/>
      <c r="B10" s="186" t="n"/>
      <c r="C10" s="186" t="n"/>
      <c r="D10" s="186" t="n"/>
      <c r="E10" s="186" t="n"/>
      <c r="F10" s="186" t="n"/>
      <c r="G10" s="186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ht="12.75" customHeight="1" s="156">
      <c r="A11" s="237" t="inlineStr">
        <is>
          <t>RESULTADO NETO</t>
        </is>
      </c>
      <c r="B11" s="235">
        <f>B7-B9</f>
        <v/>
      </c>
      <c r="C11" s="235">
        <f>C7-C9</f>
        <v/>
      </c>
      <c r="D11" s="235">
        <f>D7-D9</f>
        <v/>
      </c>
      <c r="E11" s="235">
        <f>E7-E9</f>
        <v/>
      </c>
      <c r="F11" s="235">
        <f>F7-F9</f>
        <v/>
      </c>
      <c r="G11" s="235">
        <f>G7-G9</f>
        <v/>
      </c>
      <c r="H11" s="235">
        <f>H7-H9</f>
        <v/>
      </c>
      <c r="I11" s="235">
        <f>I7-I9</f>
        <v/>
      </c>
      <c r="J11" s="235">
        <f>J7-J9</f>
        <v/>
      </c>
      <c r="K11" s="235">
        <f>K7-K9</f>
        <v/>
      </c>
      <c r="L11" s="235">
        <f>L7-L9</f>
        <v/>
      </c>
      <c r="M11" s="235">
        <f>M7-M9</f>
        <v/>
      </c>
      <c r="N11" s="235">
        <f>N7-N9</f>
        <v/>
      </c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 ht="12.75" customHeight="1" s="156">
      <c r="A12" s="18" t="n"/>
      <c r="B12" s="186" t="n"/>
      <c r="C12" s="186" t="n"/>
      <c r="D12" s="186" t="n"/>
      <c r="E12" s="186" t="n"/>
      <c r="F12" s="186" t="n"/>
      <c r="G12" s="186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ht="12.75" customHeight="1" s="156">
      <c r="A13" s="236" t="inlineStr">
        <is>
          <t>TOTAL INVERSIONES</t>
        </is>
      </c>
      <c r="B13" s="235">
        <f>#REF!</f>
        <v/>
      </c>
      <c r="C13" s="235">
        <f>#REF!</f>
        <v/>
      </c>
      <c r="D13" s="235">
        <f>#REF!</f>
        <v/>
      </c>
      <c r="E13" s="235">
        <f>#REF!</f>
        <v/>
      </c>
      <c r="F13" s="235">
        <f>#REF!</f>
        <v/>
      </c>
      <c r="G13" s="235">
        <f>#REF!</f>
        <v/>
      </c>
      <c r="H13" s="235">
        <f>#REF!</f>
        <v/>
      </c>
      <c r="I13" s="235">
        <f>#REF!</f>
        <v/>
      </c>
      <c r="J13" s="235">
        <f>#REF!</f>
        <v/>
      </c>
      <c r="K13" s="235">
        <f>#REF!</f>
        <v/>
      </c>
      <c r="L13" s="235">
        <f>#REF!</f>
        <v/>
      </c>
      <c r="M13" s="235">
        <f>#REF!</f>
        <v/>
      </c>
      <c r="N13" s="235">
        <f>#REF!</f>
        <v/>
      </c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 ht="12.75" customHeight="1" s="156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2.75" customHeight="1" s="156">
      <c r="A15" s="236" t="inlineStr">
        <is>
          <t>TOTAL DEPRECIACIONES</t>
        </is>
      </c>
      <c r="B15" s="235">
        <f>#REF!</f>
        <v/>
      </c>
      <c r="C15" s="235">
        <f>#REF!</f>
        <v/>
      </c>
      <c r="D15" s="235">
        <f>#REF!</f>
        <v/>
      </c>
      <c r="E15" s="235">
        <f>#REF!</f>
        <v/>
      </c>
      <c r="F15" s="235">
        <f>#REF!</f>
        <v/>
      </c>
      <c r="G15" s="235">
        <f>#REF!</f>
        <v/>
      </c>
      <c r="H15" s="235">
        <f>#REF!</f>
        <v/>
      </c>
      <c r="I15" s="235">
        <f>#REF!</f>
        <v/>
      </c>
      <c r="J15" s="235">
        <f>#REF!</f>
        <v/>
      </c>
      <c r="K15" s="235">
        <f>#REF!</f>
        <v/>
      </c>
      <c r="L15" s="235">
        <f>#REF!</f>
        <v/>
      </c>
      <c r="M15" s="235">
        <f>#REF!</f>
        <v/>
      </c>
      <c r="N15" s="235">
        <f>#REF!</f>
        <v/>
      </c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 ht="12.75" customHeight="1" s="15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2.75" customHeight="1" s="156">
      <c r="A17" s="236" t="inlineStr">
        <is>
          <t>GANANCIA A. IMPUESTOS (EBIT)</t>
        </is>
      </c>
      <c r="B17" s="235">
        <f>B11-B13-B15</f>
        <v/>
      </c>
      <c r="C17" s="235">
        <f>C11-C13-C15</f>
        <v/>
      </c>
      <c r="D17" s="235">
        <f>D11-D13-D15</f>
        <v/>
      </c>
      <c r="E17" s="235">
        <f>E11-E13-E15</f>
        <v/>
      </c>
      <c r="F17" s="235">
        <f>F11-F13-F15</f>
        <v/>
      </c>
      <c r="G17" s="235">
        <f>G11-G13-G15</f>
        <v/>
      </c>
      <c r="H17" s="235">
        <f>H11-H13-H15</f>
        <v/>
      </c>
      <c r="I17" s="235">
        <f>I11-I13-I15</f>
        <v/>
      </c>
      <c r="J17" s="235">
        <f>J11-J13-J15</f>
        <v/>
      </c>
      <c r="K17" s="235">
        <f>K11-K13-K15</f>
        <v/>
      </c>
      <c r="L17" s="235">
        <f>L11-L13-L15</f>
        <v/>
      </c>
      <c r="M17" s="235">
        <f>M11-M13-M15</f>
        <v/>
      </c>
      <c r="N17" s="235">
        <f>N11-N13-N15</f>
        <v/>
      </c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 ht="12.75" customHeight="1" s="156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2.75" customHeight="1" s="156">
      <c r="A19" s="236" t="inlineStr">
        <is>
          <t>GANANCIA D. IMPUESTOS</t>
        </is>
      </c>
      <c r="B19" s="235">
        <f>#REF!</f>
        <v/>
      </c>
      <c r="C19" s="235">
        <f>#REF!</f>
        <v/>
      </c>
      <c r="D19" s="235">
        <f>#REF!</f>
        <v/>
      </c>
      <c r="E19" s="235">
        <f>#REF!</f>
        <v/>
      </c>
      <c r="F19" s="235">
        <f>#REF!</f>
        <v/>
      </c>
      <c r="G19" s="235">
        <f>#REF!</f>
        <v/>
      </c>
      <c r="H19" s="235">
        <f>#REF!</f>
        <v/>
      </c>
      <c r="I19" s="235">
        <f>#REF!</f>
        <v/>
      </c>
      <c r="J19" s="235">
        <f>#REF!</f>
        <v/>
      </c>
      <c r="K19" s="235">
        <f>#REF!</f>
        <v/>
      </c>
      <c r="L19" s="235">
        <f>#REF!</f>
        <v/>
      </c>
      <c r="M19" s="235">
        <f>#REF!</f>
        <v/>
      </c>
      <c r="N19" s="235">
        <f>#REF!</f>
        <v/>
      </c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 ht="12.75" customHeight="1" s="156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2.75" customHeight="1" s="156">
      <c r="A21" s="18" t="inlineStr">
        <is>
          <t>EBITDA</t>
        </is>
      </c>
      <c r="B21" s="18" t="n"/>
      <c r="C21" s="291">
        <f>C7-C9-C13</f>
        <v/>
      </c>
      <c r="D21" s="291">
        <f>D7-D9-D13</f>
        <v/>
      </c>
      <c r="E21" s="291">
        <f>E7-E9-E13</f>
        <v/>
      </c>
      <c r="F21" s="291">
        <f>F7-F9-F13</f>
        <v/>
      </c>
      <c r="G21" s="291">
        <f>G7-G9-G13</f>
        <v/>
      </c>
      <c r="H21" s="291">
        <f>H7-H9-H13</f>
        <v/>
      </c>
      <c r="I21" s="291">
        <f>I7-I9-I13</f>
        <v/>
      </c>
      <c r="J21" s="291">
        <f>J7-J9-J13</f>
        <v/>
      </c>
      <c r="K21" s="291">
        <f>K7-K9-K13</f>
        <v/>
      </c>
      <c r="L21" s="291">
        <f>L7-L9-L13</f>
        <v/>
      </c>
      <c r="M21" s="291">
        <f>M7-M9-M13</f>
        <v/>
      </c>
      <c r="N21" s="291">
        <f>N7-N9-N13</f>
        <v/>
      </c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2.75" customHeight="1" s="156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2.75" customHeight="1" s="156">
      <c r="A23" s="18" t="n"/>
      <c r="B23" s="188" t="inlineStr">
        <is>
          <t>VAN (10% anual) =</t>
        </is>
      </c>
      <c r="C23" s="189">
        <f t="array" ref="C23">NPV(((1+0.1)^(1/12)-1),B19:N19)</f>
        <v/>
      </c>
      <c r="D23" s="75">
        <f>(1+0.1)^(1/12)-1</f>
        <v/>
      </c>
      <c r="E23" s="18" t="inlineStr">
        <is>
          <t>T.E.M</t>
        </is>
      </c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2.75" customHeight="1" s="156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2.75" customHeight="1" s="156">
      <c r="A25" s="18" t="n"/>
      <c r="B25" s="188" t="inlineStr">
        <is>
          <t>TIR =</t>
        </is>
      </c>
      <c r="C25" s="190">
        <f>IRR(B19:N19,0.01)</f>
        <v/>
      </c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2.75" customHeight="1" s="15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2.75" customHeight="1" s="156">
      <c r="A27" s="238" t="inlineStr">
        <is>
          <t>PUNTO DE EQUILIBRIO 
(V.T.D. 0,8% mensual)</t>
        </is>
      </c>
      <c r="B27" s="235">
        <f>B19</f>
        <v/>
      </c>
      <c r="C27" s="235">
        <f>C19+B19*(1+D23)^2</f>
        <v/>
      </c>
      <c r="D27" s="235">
        <f>D19+C19*(1+D23)^2+B19*(1+D23)^3</f>
        <v/>
      </c>
      <c r="E27" s="235">
        <f>E19+D19*(1+D23)^2+C19*(1+D23)^3+B19*(1+D23)^4</f>
        <v/>
      </c>
      <c r="F27" s="235">
        <f>F19+E19*(1+D23)^2+D19*(1+D23)^3+C19*(1+D23)^4+B19*(1+D23)^5</f>
        <v/>
      </c>
      <c r="G27" s="235">
        <f>G19+F19*(1+$D23)^2+E19*(1+$D23)^3+D19*(1+$D23)^4+C19*(1+$D23)^5+B19*(1+$D23)^6</f>
        <v/>
      </c>
      <c r="H27" s="235">
        <f>H19+G19*(1+$D23)^2+F19*(1+$D23)^3+E19*(1+$D23)^4+D19*(1+$D23)^5+C19*(1+$D23)^6+B19*(1+$D23)^7</f>
        <v/>
      </c>
      <c r="I27" s="235">
        <f>I19+H19*(1+$D23)^2+G19*(1+$D23)^3+F19*(1+$D23)^4+E19*(1+$D23)^5+D19*(1+$D23)^6+C19*(1+$D23)^7+B19*(1+$D23)^8</f>
        <v/>
      </c>
      <c r="J27" s="235">
        <f>J19+I19*(1+$D23)^2+H19*(1+$D23)^3+G19*(1+$D23)^4+F19*(1+$D23)^5+E19*(1+$D23)^6+D19*(1+$D23)^7+C19*(1+$D23)^8+B19*(1+$D23)^9</f>
        <v/>
      </c>
      <c r="K27" s="235">
        <f>K19+J19*(1+$D23)^2+I19*(1+$D23)^3+H19*(1+$D23)^4+G19*(1+$D23)^5+F19*(1+$D23)^6+E19*(1+$D23)^7+D19*(1+$D23)^8+C19*(1+$D23)^9+B19*(1+$D23)^10</f>
        <v/>
      </c>
      <c r="L27" s="235">
        <f>L19+K19*(1+$D23)^2+J19*(1+$D23)^3+I19*(1+$D23)^4+H19*(1+$D23)^5+G19*(1+$D23)^6+F19*(1+$D23)^7+E19*(1+$D23)^8+D19*(1+$D23)^9+C19*(1+$D23)^10+B19*(1+$D23)^11</f>
        <v/>
      </c>
      <c r="M27" s="235">
        <f>M19+L19*(1+$D23)^2+K19*(1+$D23)^3+J19*(1+$D23)^4+I19*(1+$D23)^5+H19*(1+$D23)^6+G19*(1+$D23)^7+F19*(1+$D23)^8+E19*(1+$D23)^9+D19*(1+$D23)^10+C19*(1+$D23)^11+B19*(1+$D23)^12</f>
        <v/>
      </c>
      <c r="N27" s="235">
        <f>N19+M19*(1+$D23)^2+L19*(1+$D23)^3+K19*(1+$D23)^4+J19*(1+$D23)^5+I19*(1+$D23)^6+H19*(1+$D23)^7+G19*(1+$D23)^8+F19*(1+$D23)^9+E19*(1+$D23)^10+D19*(1+$D23)^11+C19*(1+$D23)^12+B19*(1+$D23)^13</f>
        <v/>
      </c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 ht="12.75" customHeight="1" s="156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2.75" customHeight="1" s="156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2.75" customHeight="1" s="156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2.75" customHeight="1" s="156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2.75" customHeight="1" s="156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2.75" customHeight="1" s="156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2.75" customHeight="1" s="156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2.75" customHeight="1" s="156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2.75" customHeight="1" s="15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2.75" customHeight="1" s="156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2.75" customHeight="1" s="156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2.75" customHeight="1" s="156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2.75" customHeight="1" s="156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2.75" customHeight="1" s="156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2.75" customHeight="1" s="156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2.75" customHeight="1" s="156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2.75" customHeight="1" s="156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2.75" customHeight="1" s="156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2.75" customHeight="1" s="15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2.75" customHeight="1" s="156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2.75" customHeight="1" s="156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2.75" customHeight="1" s="156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2.75" customHeight="1" s="156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2.75" customHeight="1" s="156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2.75" customHeight="1" s="156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2.75" customHeight="1" s="156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2.75" customHeight="1" s="156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2.75" customHeight="1" s="156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2.75" customHeight="1" s="1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2.75" customHeight="1" s="156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2.75" customHeight="1" s="156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2.75" customHeight="1" s="156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2.75" customHeight="1" s="156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2.75" customHeight="1" s="156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2.75" customHeight="1" s="156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2.75" customHeight="1" s="156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2.75" customHeight="1" s="156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2.75" customHeight="1" s="156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2.75" customHeight="1" s="15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2.75" customHeight="1" s="156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2.75" customHeight="1" s="156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2.75" customHeight="1" s="156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2.75" customHeight="1" s="156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2.75" customHeight="1" s="156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2.75" customHeight="1" s="156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2.75" customHeight="1" s="156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2.75" customHeight="1" s="156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2.75" customHeight="1" s="156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2.75" customHeight="1" s="15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2.75" customHeight="1" s="156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2.75" customHeight="1" s="156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2.75" customHeight="1" s="156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2.75" customHeight="1" s="156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2.75" customHeight="1" s="156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2.75" customHeight="1" s="156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2.75" customHeight="1" s="156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2.75" customHeight="1" s="156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2.75" customHeight="1" s="156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2.75" customHeight="1" s="15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2.75" customHeight="1" s="156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2.75" customHeight="1" s="156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2.75" customHeight="1" s="156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2.75" customHeight="1" s="156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2.75" customHeight="1" s="156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2.75" customHeight="1" s="156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2.75" customHeight="1" s="156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2.75" customHeight="1" s="156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2.75" customHeight="1" s="156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2.75" customHeight="1" s="15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2.75" customHeight="1" s="156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2.75" customHeight="1" s="156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2.75" customHeight="1" s="156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2.75" customHeight="1" s="156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2.75" customHeight="1" s="156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2.75" customHeight="1" s="156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2.75" customHeight="1" s="156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2.75" customHeight="1" s="156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2.75" customHeight="1" s="156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2.75" customHeight="1" s="15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2.75" customHeight="1" s="156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2.75" customHeight="1" s="156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2.75" customHeight="1" s="156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2.75" customHeight="1" s="156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2.75" customHeight="1" s="156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2.75" customHeight="1" s="156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2.75" customHeight="1" s="156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2.75" customHeight="1" s="156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2.75" customHeight="1" s="156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2.75" customHeight="1" s="15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2.75" customHeight="1" s="156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2.75" customHeight="1" s="156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2.75" customHeight="1" s="156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2.75" customHeight="1" s="156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2.75" customHeight="1" s="156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2.75" customHeight="1" s="156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2.75" customHeight="1" s="156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2.75" customHeight="1" s="156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2.75" customHeight="1" s="156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2.75" customHeight="1" s="15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2.75" customHeight="1" s="156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2.75" customHeight="1" s="156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2.75" customHeight="1" s="156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2.75" customHeight="1" s="156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2.75" customHeight="1" s="156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2.75" customHeight="1" s="156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2.75" customHeight="1" s="156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2.75" customHeight="1" s="156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2.75" customHeight="1" s="156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2.75" customHeight="1" s="15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2.75" customHeight="1" s="156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2.75" customHeight="1" s="156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2.75" customHeight="1" s="156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2.75" customHeight="1" s="156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2.75" customHeight="1" s="156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2.75" customHeight="1" s="156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2.75" customHeight="1" s="156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2.75" customHeight="1" s="156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2.75" customHeight="1" s="156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2.75" customHeight="1" s="15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2.75" customHeight="1" s="156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2.75" customHeight="1" s="156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2.75" customHeight="1" s="156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2.75" customHeight="1" s="156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2.75" customHeight="1" s="156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2.75" customHeight="1" s="156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2.75" customHeight="1" s="156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2.75" customHeight="1" s="156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2.75" customHeight="1" s="156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2.75" customHeight="1" s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2.75" customHeight="1" s="156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2.75" customHeight="1" s="156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2.75" customHeight="1" s="156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2.75" customHeight="1" s="156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2.75" customHeight="1" s="156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2.75" customHeight="1" s="156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2.75" customHeight="1" s="156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2.75" customHeight="1" s="156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2.75" customHeight="1" s="156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2.75" customHeight="1" s="15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2.75" customHeight="1" s="156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2.75" customHeight="1" s="156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2.75" customHeight="1" s="156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2.75" customHeight="1" s="156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2.75" customHeight="1" s="156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2.75" customHeight="1" s="156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2.75" customHeight="1" s="156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2.75" customHeight="1" s="156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2.75" customHeight="1" s="156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2.75" customHeight="1" s="15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2.75" customHeight="1" s="156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2.75" customHeight="1" s="156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2.75" customHeight="1" s="156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2.75" customHeight="1" s="156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2.75" customHeight="1" s="156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2.75" customHeight="1" s="156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2.75" customHeight="1" s="156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2.75" customHeight="1" s="156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2.75" customHeight="1" s="156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2.75" customHeight="1" s="15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2.75" customHeight="1" s="156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2.75" customHeight="1" s="156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2.75" customHeight="1" s="156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2.75" customHeight="1" s="156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2.75" customHeight="1" s="156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2.75" customHeight="1" s="156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2.75" customHeight="1" s="156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2.75" customHeight="1" s="156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2.75" customHeight="1" s="156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2.75" customHeight="1" s="15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2.75" customHeight="1" s="156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2.75" customHeight="1" s="156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2.75" customHeight="1" s="156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2.75" customHeight="1" s="156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2.75" customHeight="1" s="156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2.75" customHeight="1" s="156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2.75" customHeight="1" s="156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2.75" customHeight="1" s="156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2.75" customHeight="1" s="156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2.75" customHeight="1" s="15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2.75" customHeight="1" s="156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2.75" customHeight="1" s="156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2.75" customHeight="1" s="156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2.75" customHeight="1" s="156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2.75" customHeight="1" s="156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2.75" customHeight="1" s="156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2.75" customHeight="1" s="156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2.75" customHeight="1" s="156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2.75" customHeight="1" s="156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2.75" customHeight="1" s="15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2.75" customHeight="1" s="156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2.75" customHeight="1" s="156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2.75" customHeight="1" s="156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2.75" customHeight="1" s="156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2.75" customHeight="1" s="156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2.75" customHeight="1" s="156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2.75" customHeight="1" s="156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2.75" customHeight="1" s="156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2.75" customHeight="1" s="156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2.75" customHeight="1" s="15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2.75" customHeight="1" s="156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rintOptions horizontalCentered="1" verticalCentered="1"/>
  <pageMargins left="0.7874015748031497" right="0.7874015748031497" top="0.7874015748031497" bottom="0.7874015748031497" header="0" footer="0"/>
  <pageSetup orientation="landscape" paperSize="9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2020-07-18T16:01:14Z</dcterms:created>
  <dcterms:modified xsi:type="dcterms:W3CDTF">2026-05-27T20:51:39Z</dcterms:modified>
  <cp:lastModifiedBy>Microsoft Office User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0x010100ED969AE7A600734CADCA94BBED160AA5</vt:lpwstr>
  </property>
</Properties>
</file>