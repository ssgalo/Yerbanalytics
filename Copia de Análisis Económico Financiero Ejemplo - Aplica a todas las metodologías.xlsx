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ntiago.galo\Desktop\Universidad\Proyecto\auxiliar\Repositorio\"/>
    </mc:Choice>
  </mc:AlternateContent>
  <xr:revisionPtr revIDLastSave="0" documentId="13_ncr:1_{2A5DAC42-57F0-48E7-B387-9E46F26AC1D6}" xr6:coauthVersionLast="47" xr6:coauthVersionMax="47" xr10:uidLastSave="{00000000-0000-0000-0000-000000000000}"/>
  <bookViews>
    <workbookView xWindow="28680" yWindow="-120" windowWidth="29040" windowHeight="15840" activeTab="7" xr2:uid="{00000000-000D-0000-FFFF-FFFF00000000}"/>
  </bookViews>
  <sheets>
    <sheet name="Sub-Total Rubros Argentina" sheetId="1" state="hidden" r:id="rId1"/>
    <sheet name="Sub-Total Subrubros Argentina" sheetId="2" state="hidden" r:id="rId2"/>
    <sheet name="Total de rubros por Provincia" sheetId="3" state="hidden" r:id="rId3"/>
    <sheet name="Total de sub-rubros por Provinc" sheetId="4" state="hidden" r:id="rId4"/>
    <sheet name="Est. Res. Proy." sheetId="5" r:id="rId5"/>
    <sheet name="Ingresos" sheetId="6" r:id="rId6"/>
    <sheet name="Egresos" sheetId="7" r:id="rId7"/>
    <sheet name="RRHH" sheetId="8" r:id="rId8"/>
    <sheet name="Inversiones" sheetId="9" r:id="rId9"/>
    <sheet name="Amortizaciones" sheetId="10" r:id="rId10"/>
    <sheet name="Intra Extranets" sheetId="11" state="hidden" r:id="rId11"/>
    <sheet name="Cuadro de Resultados" sheetId="12" state="hidden" r:id="rId12"/>
  </sheets>
  <definedNames>
    <definedName name="Cooperativas_por_Provinci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2" l="1"/>
  <c r="D23" i="12"/>
  <c r="C23" i="12" a="1"/>
  <c r="C23" i="12" s="1"/>
  <c r="H21" i="12"/>
  <c r="N19" i="12"/>
  <c r="M19" i="12"/>
  <c r="L19" i="12"/>
  <c r="L27" i="12" s="1"/>
  <c r="K19" i="12"/>
  <c r="K27" i="12" s="1"/>
  <c r="J19" i="12"/>
  <c r="I19" i="12"/>
  <c r="H19" i="12"/>
  <c r="G19" i="12"/>
  <c r="F19" i="12"/>
  <c r="E19" i="12"/>
  <c r="D19" i="12"/>
  <c r="D27" i="12" s="1"/>
  <c r="C19" i="12"/>
  <c r="C27" i="12" s="1"/>
  <c r="B19" i="12"/>
  <c r="B27" i="12" s="1"/>
  <c r="C17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N13" i="12"/>
  <c r="M13" i="12"/>
  <c r="L13" i="12"/>
  <c r="K13" i="12"/>
  <c r="K17" i="12" s="1"/>
  <c r="J13" i="12"/>
  <c r="I13" i="12"/>
  <c r="H13" i="12"/>
  <c r="G13" i="12"/>
  <c r="F13" i="12"/>
  <c r="E13" i="12"/>
  <c r="D13" i="12"/>
  <c r="C13" i="12"/>
  <c r="B13" i="12"/>
  <c r="N11" i="12"/>
  <c r="N17" i="12" s="1"/>
  <c r="K11" i="12"/>
  <c r="J11" i="12"/>
  <c r="J17" i="12" s="1"/>
  <c r="H11" i="12"/>
  <c r="H17" i="12" s="1"/>
  <c r="F11" i="12"/>
  <c r="C11" i="12"/>
  <c r="B11" i="12"/>
  <c r="B17" i="12" s="1"/>
  <c r="N9" i="12"/>
  <c r="M9" i="12"/>
  <c r="L9" i="12"/>
  <c r="K9" i="12"/>
  <c r="J9" i="12"/>
  <c r="I9" i="12"/>
  <c r="H9" i="12"/>
  <c r="G9" i="12"/>
  <c r="G11" i="12" s="1"/>
  <c r="G17" i="12" s="1"/>
  <c r="F9" i="12"/>
  <c r="E9" i="12"/>
  <c r="D9" i="12"/>
  <c r="C9" i="12"/>
  <c r="B9" i="12"/>
  <c r="N7" i="12"/>
  <c r="N21" i="12" s="1"/>
  <c r="M7" i="12"/>
  <c r="M21" i="12" s="1"/>
  <c r="L7" i="12"/>
  <c r="K7" i="12"/>
  <c r="K21" i="12" s="1"/>
  <c r="J7" i="12"/>
  <c r="J21" i="12" s="1"/>
  <c r="I7" i="12"/>
  <c r="I21" i="12" s="1"/>
  <c r="H7" i="12"/>
  <c r="G7" i="12"/>
  <c r="F7" i="12"/>
  <c r="F21" i="12" s="1"/>
  <c r="E7" i="12"/>
  <c r="E21" i="12" s="1"/>
  <c r="D7" i="12"/>
  <c r="C7" i="12"/>
  <c r="I26" i="11"/>
  <c r="H26" i="11"/>
  <c r="F26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I14" i="11"/>
  <c r="H14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N11" i="11"/>
  <c r="N6" i="11"/>
  <c r="M6" i="11"/>
  <c r="M26" i="11" s="1"/>
  <c r="L6" i="11"/>
  <c r="K6" i="11"/>
  <c r="J6" i="11"/>
  <c r="I6" i="11"/>
  <c r="H6" i="11"/>
  <c r="G6" i="11"/>
  <c r="F6" i="11"/>
  <c r="E6" i="11"/>
  <c r="E26" i="11" s="1"/>
  <c r="D6" i="11"/>
  <c r="C6" i="11"/>
  <c r="B6" i="11"/>
  <c r="N5" i="11"/>
  <c r="M4" i="11"/>
  <c r="L4" i="11"/>
  <c r="K4" i="11"/>
  <c r="J4" i="11"/>
  <c r="I4" i="11"/>
  <c r="H4" i="11"/>
  <c r="G4" i="11"/>
  <c r="F4" i="11"/>
  <c r="E4" i="11"/>
  <c r="D4" i="11"/>
  <c r="C4" i="11"/>
  <c r="B4" i="11"/>
  <c r="C18" i="10"/>
  <c r="D18" i="10" s="1"/>
  <c r="E18" i="10" s="1"/>
  <c r="D17" i="10"/>
  <c r="C15" i="10"/>
  <c r="D15" i="10" s="1"/>
  <c r="C14" i="10"/>
  <c r="D14" i="10" s="1"/>
  <c r="E14" i="10" s="1"/>
  <c r="B12" i="10"/>
  <c r="C10" i="10"/>
  <c r="D10" i="10" s="1"/>
  <c r="E9" i="10"/>
  <c r="E8" i="10"/>
  <c r="C6" i="10"/>
  <c r="A1" i="10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17" i="9"/>
  <c r="C17" i="10" s="1"/>
  <c r="D16" i="9"/>
  <c r="D15" i="9"/>
  <c r="D14" i="9"/>
  <c r="D13" i="9"/>
  <c r="C13" i="10" s="1"/>
  <c r="D13" i="10" s="1"/>
  <c r="D12" i="9"/>
  <c r="D10" i="9"/>
  <c r="D9" i="9"/>
  <c r="C9" i="10" s="1"/>
  <c r="D9" i="10" s="1"/>
  <c r="D8" i="9"/>
  <c r="C8" i="10" s="1"/>
  <c r="D8" i="10" s="1"/>
  <c r="D7" i="9"/>
  <c r="D6" i="9"/>
  <c r="A1" i="9"/>
  <c r="S11" i="8"/>
  <c r="R11" i="8"/>
  <c r="J11" i="8"/>
  <c r="B11" i="8"/>
  <c r="T10" i="8"/>
  <c r="C10" i="8"/>
  <c r="D10" i="8" s="1"/>
  <c r="T9" i="8"/>
  <c r="H9" i="8"/>
  <c r="F9" i="8"/>
  <c r="E9" i="8"/>
  <c r="C9" i="8"/>
  <c r="D9" i="8" s="1"/>
  <c r="K8" i="8"/>
  <c r="H8" i="8"/>
  <c r="I8" i="8" s="1"/>
  <c r="B27" i="8" s="1"/>
  <c r="G8" i="8"/>
  <c r="E8" i="8"/>
  <c r="D8" i="8"/>
  <c r="F8" i="8" s="1"/>
  <c r="C8" i="8"/>
  <c r="O7" i="8"/>
  <c r="M7" i="8"/>
  <c r="N7" i="8" s="1"/>
  <c r="L7" i="8"/>
  <c r="K7" i="8"/>
  <c r="C7" i="8"/>
  <c r="D7" i="8" s="1"/>
  <c r="K6" i="8"/>
  <c r="G6" i="8"/>
  <c r="F6" i="8"/>
  <c r="E6" i="8"/>
  <c r="I6" i="8" s="1"/>
  <c r="D6" i="8"/>
  <c r="H6" i="8" s="1"/>
  <c r="C6" i="8"/>
  <c r="A1" i="8"/>
  <c r="L20" i="7"/>
  <c r="L19" i="7"/>
  <c r="L18" i="7"/>
  <c r="L17" i="7"/>
  <c r="L16" i="7"/>
  <c r="L15" i="7"/>
  <c r="L14" i="7"/>
  <c r="L13" i="7"/>
  <c r="L12" i="7"/>
  <c r="L11" i="7"/>
  <c r="L10" i="7"/>
  <c r="A1" i="7"/>
  <c r="E25" i="6"/>
  <c r="D25" i="6"/>
  <c r="D24" i="6"/>
  <c r="I18" i="6"/>
  <c r="I9" i="5" s="1"/>
  <c r="H18" i="6"/>
  <c r="H9" i="5" s="1"/>
  <c r="G18" i="6"/>
  <c r="G9" i="5" s="1"/>
  <c r="F18" i="6"/>
  <c r="E18" i="6"/>
  <c r="D18" i="6"/>
  <c r="C18" i="6"/>
  <c r="B17" i="6"/>
  <c r="L17" i="6" s="1"/>
  <c r="K16" i="6"/>
  <c r="L16" i="6" s="1"/>
  <c r="J16" i="6"/>
  <c r="B16" i="6"/>
  <c r="K15" i="6"/>
  <c r="J15" i="6"/>
  <c r="B14" i="6"/>
  <c r="B18" i="6" s="1"/>
  <c r="G10" i="6"/>
  <c r="D10" i="6"/>
  <c r="C10" i="6"/>
  <c r="C325" i="4"/>
  <c r="C177" i="3"/>
  <c r="B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0" i="2"/>
  <c r="C9" i="2"/>
  <c r="C8" i="2"/>
  <c r="C7" i="2"/>
  <c r="C39" i="2" s="1"/>
  <c r="C6" i="2"/>
  <c r="C5" i="2"/>
  <c r="C4" i="2"/>
  <c r="C3" i="2"/>
  <c r="C2" i="2"/>
  <c r="B12" i="1"/>
  <c r="H21" i="5"/>
  <c r="H12" i="5"/>
  <c r="G12" i="5"/>
  <c r="F9" i="5"/>
  <c r="F12" i="5" s="1"/>
  <c r="E9" i="5"/>
  <c r="E12" i="5" s="1"/>
  <c r="D9" i="5"/>
  <c r="C9" i="5"/>
  <c r="B9" i="5"/>
  <c r="B12" i="5" s="1"/>
  <c r="D177" i="3" l="1"/>
  <c r="C12" i="1"/>
  <c r="E7" i="8"/>
  <c r="E11" i="8" s="1"/>
  <c r="H7" i="8"/>
  <c r="G7" i="8"/>
  <c r="F7" i="8"/>
  <c r="F11" i="8" s="1"/>
  <c r="K27" i="8"/>
  <c r="C27" i="8"/>
  <c r="L27" i="8"/>
  <c r="E27" i="8"/>
  <c r="D27" i="8"/>
  <c r="D20" i="9"/>
  <c r="C12" i="10"/>
  <c r="B26" i="11"/>
  <c r="B14" i="11"/>
  <c r="J26" i="11"/>
  <c r="J14" i="11"/>
  <c r="L14" i="6"/>
  <c r="K18" i="6"/>
  <c r="K9" i="5" s="1"/>
  <c r="K26" i="11"/>
  <c r="K14" i="11"/>
  <c r="P7" i="8"/>
  <c r="Q7" i="8" s="1"/>
  <c r="D26" i="11"/>
  <c r="D14" i="11"/>
  <c r="B25" i="8"/>
  <c r="C12" i="5"/>
  <c r="I12" i="5"/>
  <c r="C26" i="11"/>
  <c r="C14" i="11"/>
  <c r="G10" i="8"/>
  <c r="H10" i="8"/>
  <c r="F10" i="8"/>
  <c r="I10" i="8" s="1"/>
  <c r="B29" i="8" s="1"/>
  <c r="E10" i="8"/>
  <c r="E13" i="10"/>
  <c r="L26" i="11"/>
  <c r="L14" i="11"/>
  <c r="D12" i="5"/>
  <c r="L8" i="8"/>
  <c r="M8" i="8" s="1"/>
  <c r="N8" i="8" s="1"/>
  <c r="O8" i="8" s="1"/>
  <c r="P8" i="8" s="1"/>
  <c r="Q8" i="8" s="1"/>
  <c r="J27" i="8" s="1"/>
  <c r="T8" i="8"/>
  <c r="E27" i="12"/>
  <c r="M27" i="12"/>
  <c r="L6" i="8"/>
  <c r="K11" i="8"/>
  <c r="E6" i="10"/>
  <c r="E11" i="10" s="1"/>
  <c r="E15" i="10"/>
  <c r="G26" i="11"/>
  <c r="G14" i="11"/>
  <c r="F27" i="12"/>
  <c r="N27" i="12"/>
  <c r="G9" i="8"/>
  <c r="I9" i="8"/>
  <c r="B28" i="8" s="1"/>
  <c r="D11" i="9"/>
  <c r="B7" i="7" s="1"/>
  <c r="L7" i="7" s="1"/>
  <c r="C7" i="10"/>
  <c r="D7" i="10" s="1"/>
  <c r="E7" i="10" s="1"/>
  <c r="C16" i="10"/>
  <c r="D16" i="10" s="1"/>
  <c r="E16" i="10" s="1"/>
  <c r="E17" i="10"/>
  <c r="C21" i="12"/>
  <c r="G27" i="12"/>
  <c r="J18" i="6"/>
  <c r="J9" i="5" s="1"/>
  <c r="L15" i="6"/>
  <c r="D6" i="10"/>
  <c r="D11" i="10" s="1"/>
  <c r="C11" i="10"/>
  <c r="D21" i="12"/>
  <c r="D11" i="12"/>
  <c r="D17" i="12" s="1"/>
  <c r="L21" i="12"/>
  <c r="L11" i="12"/>
  <c r="L17" i="12" s="1"/>
  <c r="J27" i="12"/>
  <c r="C11" i="8"/>
  <c r="D44" i="9"/>
  <c r="N4" i="11"/>
  <c r="F17" i="12"/>
  <c r="H27" i="12"/>
  <c r="D11" i="8"/>
  <c r="E10" i="10"/>
  <c r="F14" i="11"/>
  <c r="N14" i="11"/>
  <c r="G21" i="12"/>
  <c r="I27" i="12"/>
  <c r="I11" i="12"/>
  <c r="I17" i="12" s="1"/>
  <c r="E11" i="12"/>
  <c r="E17" i="12" s="1"/>
  <c r="M11" i="12"/>
  <c r="M17" i="12" s="1"/>
  <c r="E14" i="11"/>
  <c r="M14" i="11"/>
  <c r="K29" i="8" l="1"/>
  <c r="C29" i="8"/>
  <c r="H29" i="8"/>
  <c r="J29" i="8"/>
  <c r="I29" i="8"/>
  <c r="L29" i="8"/>
  <c r="E29" i="8"/>
  <c r="G29" i="8"/>
  <c r="F29" i="8"/>
  <c r="D29" i="8"/>
  <c r="M29" i="8" s="1"/>
  <c r="L18" i="6"/>
  <c r="D12" i="10"/>
  <c r="C19" i="10"/>
  <c r="J12" i="5"/>
  <c r="G28" i="8"/>
  <c r="L28" i="8"/>
  <c r="D28" i="8"/>
  <c r="K28" i="8"/>
  <c r="J28" i="8"/>
  <c r="I28" i="8"/>
  <c r="H28" i="8"/>
  <c r="C28" i="8"/>
  <c r="E28" i="8"/>
  <c r="F28" i="8"/>
  <c r="F27" i="8"/>
  <c r="Q11" i="8"/>
  <c r="G11" i="8"/>
  <c r="L11" i="8"/>
  <c r="M6" i="8"/>
  <c r="I27" i="8"/>
  <c r="I7" i="8"/>
  <c r="C20" i="10"/>
  <c r="C15" i="5" s="1"/>
  <c r="D15" i="5" s="1"/>
  <c r="E15" i="5" s="1"/>
  <c r="F15" i="5" s="1"/>
  <c r="G15" i="5" s="1"/>
  <c r="H15" i="5" s="1"/>
  <c r="I15" i="5" s="1"/>
  <c r="K25" i="8"/>
  <c r="C25" i="8"/>
  <c r="E25" i="8"/>
  <c r="D25" i="8"/>
  <c r="F25" i="8"/>
  <c r="J25" i="8"/>
  <c r="L25" i="8"/>
  <c r="H27" i="8"/>
  <c r="M27" i="8" s="1"/>
  <c r="C7" i="1"/>
  <c r="C6" i="1"/>
  <c r="C8" i="1"/>
  <c r="C5" i="1"/>
  <c r="C4" i="1"/>
  <c r="C11" i="1"/>
  <c r="C10" i="1"/>
  <c r="C2" i="1"/>
  <c r="C9" i="1"/>
  <c r="C3" i="1"/>
  <c r="D21" i="9"/>
  <c r="B8" i="7"/>
  <c r="L8" i="7" s="1"/>
  <c r="G27" i="8"/>
  <c r="T7" i="8"/>
  <c r="H11" i="8"/>
  <c r="N26" i="11"/>
  <c r="B37" i="7"/>
  <c r="B9" i="7"/>
  <c r="K12" i="5"/>
  <c r="D169" i="3"/>
  <c r="D161" i="3"/>
  <c r="D153" i="3"/>
  <c r="D145" i="3"/>
  <c r="D129" i="3"/>
  <c r="D121" i="3"/>
  <c r="D113" i="3"/>
  <c r="D105" i="3"/>
  <c r="D174" i="3"/>
  <c r="D165" i="3"/>
  <c r="D156" i="3"/>
  <c r="D147" i="3"/>
  <c r="D138" i="3"/>
  <c r="D128" i="3"/>
  <c r="D119" i="3"/>
  <c r="D110" i="3"/>
  <c r="D101" i="3"/>
  <c r="D77" i="3"/>
  <c r="D69" i="3"/>
  <c r="D53" i="3"/>
  <c r="D45" i="3"/>
  <c r="D37" i="3"/>
  <c r="D29" i="3"/>
  <c r="D13" i="3"/>
  <c r="D5" i="3"/>
  <c r="D325" i="4"/>
  <c r="D164" i="3"/>
  <c r="D155" i="3"/>
  <c r="D146" i="3"/>
  <c r="D136" i="3"/>
  <c r="D127" i="3"/>
  <c r="D118" i="3"/>
  <c r="D109" i="3"/>
  <c r="D92" i="3"/>
  <c r="D84" i="3"/>
  <c r="D76" i="3"/>
  <c r="D68" i="3"/>
  <c r="D60" i="3"/>
  <c r="D52" i="3"/>
  <c r="D44" i="3"/>
  <c r="D28" i="3"/>
  <c r="D20" i="3"/>
  <c r="D4" i="3"/>
  <c r="D167" i="3"/>
  <c r="D152" i="3"/>
  <c r="D141" i="3"/>
  <c r="D130" i="3"/>
  <c r="D116" i="3"/>
  <c r="D104" i="3"/>
  <c r="D94" i="3"/>
  <c r="D82" i="3"/>
  <c r="D72" i="3"/>
  <c r="D62" i="3"/>
  <c r="D64" i="3" s="1"/>
  <c r="D50" i="3"/>
  <c r="D40" i="3"/>
  <c r="D30" i="3"/>
  <c r="D18" i="3"/>
  <c r="D8" i="3"/>
  <c r="D160" i="3"/>
  <c r="D135" i="3"/>
  <c r="D112" i="3"/>
  <c r="D99" i="3"/>
  <c r="D89" i="3"/>
  <c r="D67" i="3"/>
  <c r="D47" i="3"/>
  <c r="D163" i="3"/>
  <c r="D151" i="3"/>
  <c r="D140" i="3"/>
  <c r="D126" i="3"/>
  <c r="D103" i="3"/>
  <c r="D91" i="3"/>
  <c r="D81" i="3"/>
  <c r="D59" i="3"/>
  <c r="D49" i="3"/>
  <c r="D39" i="3"/>
  <c r="D27" i="3"/>
  <c r="D17" i="3"/>
  <c r="D7" i="3"/>
  <c r="D150" i="3"/>
  <c r="D139" i="3"/>
  <c r="D125" i="3"/>
  <c r="D114" i="3"/>
  <c r="D102" i="3"/>
  <c r="D90" i="3"/>
  <c r="D80" i="3"/>
  <c r="D70" i="3"/>
  <c r="D58" i="3"/>
  <c r="D38" i="3"/>
  <c r="D26" i="3"/>
  <c r="D16" i="3"/>
  <c r="D6" i="3"/>
  <c r="D173" i="3"/>
  <c r="D149" i="3"/>
  <c r="D79" i="3"/>
  <c r="D85" i="3" s="1"/>
  <c r="D57" i="3"/>
  <c r="D35" i="3"/>
  <c r="D106" i="3"/>
  <c r="D171" i="3"/>
  <c r="D122" i="3"/>
  <c r="D97" i="3"/>
  <c r="D75" i="3"/>
  <c r="D55" i="3"/>
  <c r="D61" i="3" s="1"/>
  <c r="D33" i="3"/>
  <c r="D15" i="3"/>
  <c r="D168" i="3"/>
  <c r="D117" i="3"/>
  <c r="D95" i="3"/>
  <c r="D51" i="3"/>
  <c r="D11" i="3"/>
  <c r="D159" i="3"/>
  <c r="D111" i="3"/>
  <c r="D88" i="3"/>
  <c r="D46" i="3"/>
  <c r="D10" i="3"/>
  <c r="D158" i="3"/>
  <c r="D43" i="3"/>
  <c r="D9" i="3"/>
  <c r="D132" i="3"/>
  <c r="D86" i="3"/>
  <c r="D42" i="3"/>
  <c r="D23" i="3"/>
  <c r="D3" i="3"/>
  <c r="D63" i="3"/>
  <c r="D2" i="3"/>
  <c r="D172" i="3"/>
  <c r="D123" i="3"/>
  <c r="D98" i="3"/>
  <c r="D56" i="3"/>
  <c r="D34" i="3"/>
  <c r="D170" i="3"/>
  <c r="D143" i="3"/>
  <c r="D120" i="3"/>
  <c r="D96" i="3"/>
  <c r="D74" i="3"/>
  <c r="D32" i="3"/>
  <c r="D14" i="3"/>
  <c r="D142" i="3"/>
  <c r="D73" i="3"/>
  <c r="D31" i="3"/>
  <c r="D134" i="3"/>
  <c r="D66" i="3"/>
  <c r="D133" i="3"/>
  <c r="D87" i="3"/>
  <c r="D65" i="3"/>
  <c r="D24" i="3"/>
  <c r="D157" i="3"/>
  <c r="D107" i="3"/>
  <c r="D83" i="3"/>
  <c r="D22" i="3"/>
  <c r="D25" i="3" s="1"/>
  <c r="D148" i="3"/>
  <c r="D19" i="3"/>
  <c r="D137" i="3" l="1"/>
  <c r="D144" i="3"/>
  <c r="D12" i="3"/>
  <c r="D176" i="3" s="1"/>
  <c r="L9" i="7"/>
  <c r="D54" i="3"/>
  <c r="D166" i="3"/>
  <c r="D100" i="3"/>
  <c r="D320" i="4"/>
  <c r="D312" i="4"/>
  <c r="D304" i="4"/>
  <c r="D296" i="4"/>
  <c r="D288" i="4"/>
  <c r="D280" i="4"/>
  <c r="D272" i="4"/>
  <c r="D264" i="4"/>
  <c r="D256" i="4"/>
  <c r="D248" i="4"/>
  <c r="D240" i="4"/>
  <c r="D232" i="4"/>
  <c r="D216" i="4"/>
  <c r="D200" i="4"/>
  <c r="D192" i="4"/>
  <c r="D184" i="4"/>
  <c r="D176" i="4"/>
  <c r="D160" i="4"/>
  <c r="D152" i="4"/>
  <c r="D144" i="4"/>
  <c r="D136" i="4"/>
  <c r="D128" i="4"/>
  <c r="D120" i="4"/>
  <c r="D112" i="4"/>
  <c r="D104" i="4"/>
  <c r="D96" i="4"/>
  <c r="D80" i="4"/>
  <c r="D72" i="4"/>
  <c r="D64" i="4"/>
  <c r="D56" i="4"/>
  <c r="D40" i="4"/>
  <c r="D24" i="4"/>
  <c r="D16" i="4"/>
  <c r="D8" i="4"/>
  <c r="D317" i="4"/>
  <c r="D309" i="4"/>
  <c r="D301" i="4"/>
  <c r="D293" i="4"/>
  <c r="D285" i="4"/>
  <c r="D277" i="4"/>
  <c r="D269" i="4"/>
  <c r="D261" i="4"/>
  <c r="D253" i="4"/>
  <c r="D237" i="4"/>
  <c r="D229" i="4"/>
  <c r="D221" i="4"/>
  <c r="D213" i="4"/>
  <c r="D205" i="4"/>
  <c r="D197" i="4"/>
  <c r="D189" i="4"/>
  <c r="D181" i="4"/>
  <c r="D173" i="4"/>
  <c r="D165" i="4"/>
  <c r="D157" i="4"/>
  <c r="D149" i="4"/>
  <c r="D141" i="4"/>
  <c r="D133" i="4"/>
  <c r="D125" i="4"/>
  <c r="D117" i="4"/>
  <c r="D109" i="4"/>
  <c r="D101" i="4"/>
  <c r="D93" i="4"/>
  <c r="D85" i="4"/>
  <c r="D77" i="4"/>
  <c r="D69" i="4"/>
  <c r="D61" i="4"/>
  <c r="D45" i="4"/>
  <c r="D37" i="4"/>
  <c r="D29" i="4"/>
  <c r="D21" i="4"/>
  <c r="D13" i="4"/>
  <c r="D5" i="4"/>
  <c r="D318" i="4"/>
  <c r="D307" i="4"/>
  <c r="D297" i="4"/>
  <c r="D286" i="4"/>
  <c r="D275" i="4"/>
  <c r="D265" i="4"/>
  <c r="D254" i="4"/>
  <c r="D243" i="4"/>
  <c r="D233" i="4"/>
  <c r="D222" i="4"/>
  <c r="D211" i="4"/>
  <c r="D201" i="4"/>
  <c r="D190" i="4"/>
  <c r="D179" i="4"/>
  <c r="D169" i="4"/>
  <c r="D147" i="4"/>
  <c r="D126" i="4"/>
  <c r="D115" i="4"/>
  <c r="D105" i="4"/>
  <c r="D94" i="4"/>
  <c r="D83" i="4"/>
  <c r="D73" i="4"/>
  <c r="D62" i="4"/>
  <c r="D51" i="4"/>
  <c r="D41" i="4"/>
  <c r="D30" i="4"/>
  <c r="D19" i="4"/>
  <c r="D9" i="4"/>
  <c r="D316" i="4"/>
  <c r="D306" i="4"/>
  <c r="D295" i="4"/>
  <c r="D284" i="4"/>
  <c r="D274" i="4"/>
  <c r="D263" i="4"/>
  <c r="D252" i="4"/>
  <c r="D242" i="4"/>
  <c r="D231" i="4"/>
  <c r="D220" i="4"/>
  <c r="D210" i="4"/>
  <c r="D199" i="4"/>
  <c r="D188" i="4"/>
  <c r="D178" i="4"/>
  <c r="D167" i="4"/>
  <c r="D156" i="4"/>
  <c r="D146" i="4"/>
  <c r="D135" i="4"/>
  <c r="D124" i="4"/>
  <c r="D114" i="4"/>
  <c r="D103" i="4"/>
  <c r="D92" i="4"/>
  <c r="D82" i="4"/>
  <c r="D71" i="4"/>
  <c r="D60" i="4"/>
  <c r="D50" i="4"/>
  <c r="D39" i="4"/>
  <c r="D28" i="4"/>
  <c r="D18" i="4"/>
  <c r="D7" i="4"/>
  <c r="D314" i="4"/>
  <c r="D300" i="4"/>
  <c r="D287" i="4"/>
  <c r="D271" i="4"/>
  <c r="D258" i="4"/>
  <c r="D244" i="4"/>
  <c r="D228" i="4"/>
  <c r="D215" i="4"/>
  <c r="D202" i="4"/>
  <c r="D172" i="4"/>
  <c r="D159" i="4"/>
  <c r="D143" i="4"/>
  <c r="D130" i="4"/>
  <c r="D116" i="4"/>
  <c r="D87" i="4"/>
  <c r="D74" i="4"/>
  <c r="D58" i="4"/>
  <c r="D44" i="4"/>
  <c r="D31" i="4"/>
  <c r="D15" i="4"/>
  <c r="D2" i="4"/>
  <c r="D294" i="4"/>
  <c r="D281" i="4"/>
  <c r="D251" i="4"/>
  <c r="D238" i="4"/>
  <c r="D209" i="4"/>
  <c r="D195" i="4"/>
  <c r="D166" i="4"/>
  <c r="D153" i="4"/>
  <c r="D123" i="4"/>
  <c r="D97" i="4"/>
  <c r="D67" i="4"/>
  <c r="D38" i="4"/>
  <c r="D11" i="4"/>
  <c r="D313" i="4"/>
  <c r="D299" i="4"/>
  <c r="D283" i="4"/>
  <c r="D270" i="4"/>
  <c r="D257" i="4"/>
  <c r="D241" i="4"/>
  <c r="D227" i="4"/>
  <c r="D214" i="4"/>
  <c r="D185" i="4"/>
  <c r="D171" i="4"/>
  <c r="D155" i="4"/>
  <c r="D142" i="4"/>
  <c r="D129" i="4"/>
  <c r="D113" i="4"/>
  <c r="D99" i="4"/>
  <c r="D86" i="4"/>
  <c r="D70" i="4"/>
  <c r="D57" i="4"/>
  <c r="D43" i="4"/>
  <c r="D27" i="4"/>
  <c r="D14" i="4"/>
  <c r="D311" i="4"/>
  <c r="D298" i="4"/>
  <c r="D282" i="4"/>
  <c r="D268" i="4"/>
  <c r="D239" i="4"/>
  <c r="D226" i="4"/>
  <c r="D212" i="4"/>
  <c r="D196" i="4"/>
  <c r="D183" i="4"/>
  <c r="D170" i="4"/>
  <c r="D154" i="4"/>
  <c r="D140" i="4"/>
  <c r="D127" i="4"/>
  <c r="D98" i="4"/>
  <c r="D84" i="4"/>
  <c r="D68" i="4"/>
  <c r="D55" i="4"/>
  <c r="D42" i="4"/>
  <c r="D26" i="4"/>
  <c r="D12" i="4"/>
  <c r="D267" i="4"/>
  <c r="D225" i="4"/>
  <c r="D235" i="4" s="1"/>
  <c r="D182" i="4"/>
  <c r="D139" i="4"/>
  <c r="D110" i="4"/>
  <c r="D81" i="4"/>
  <c r="D54" i="4"/>
  <c r="D25" i="4"/>
  <c r="D164" i="4"/>
  <c r="D276" i="4"/>
  <c r="D247" i="4"/>
  <c r="D218" i="4"/>
  <c r="D191" i="4"/>
  <c r="D162" i="4"/>
  <c r="D132" i="4"/>
  <c r="D106" i="4"/>
  <c r="D76" i="4"/>
  <c r="D47" i="4"/>
  <c r="D20" i="4"/>
  <c r="D322" i="4"/>
  <c r="D207" i="4"/>
  <c r="D151" i="4"/>
  <c r="D95" i="4"/>
  <c r="D36" i="4"/>
  <c r="D291" i="4"/>
  <c r="D121" i="4"/>
  <c r="D35" i="4"/>
  <c r="D260" i="4"/>
  <c r="D234" i="4"/>
  <c r="D175" i="4"/>
  <c r="D119" i="4"/>
  <c r="D90" i="4"/>
  <c r="D63" i="4"/>
  <c r="D4" i="4"/>
  <c r="D315" i="4"/>
  <c r="D289" i="4"/>
  <c r="D230" i="4"/>
  <c r="D203" i="4"/>
  <c r="D174" i="4"/>
  <c r="D118" i="4"/>
  <c r="D59" i="4"/>
  <c r="D3" i="4"/>
  <c r="D279" i="4"/>
  <c r="D223" i="4"/>
  <c r="D138" i="4"/>
  <c r="D79" i="4"/>
  <c r="D23" i="4"/>
  <c r="D305" i="4"/>
  <c r="D278" i="4"/>
  <c r="D249" i="4"/>
  <c r="D193" i="4"/>
  <c r="D163" i="4"/>
  <c r="D134" i="4"/>
  <c r="D49" i="4"/>
  <c r="D302" i="4"/>
  <c r="D273" i="4"/>
  <c r="D246" i="4"/>
  <c r="D217" i="4"/>
  <c r="D187" i="4"/>
  <c r="D161" i="4"/>
  <c r="D102" i="4"/>
  <c r="D75" i="4"/>
  <c r="D46" i="4"/>
  <c r="D17" i="4"/>
  <c r="D292" i="4"/>
  <c r="D236" i="4"/>
  <c r="D245" i="4" s="1"/>
  <c r="D180" i="4"/>
  <c r="D122" i="4"/>
  <c r="D66" i="4"/>
  <c r="D10" i="4"/>
  <c r="D321" i="4"/>
  <c r="D262" i="4"/>
  <c r="D206" i="4"/>
  <c r="D177" i="4"/>
  <c r="D150" i="4"/>
  <c r="D91" i="4"/>
  <c r="D65" i="4"/>
  <c r="D6" i="4"/>
  <c r="D319" i="4"/>
  <c r="D204" i="4"/>
  <c r="D34" i="4"/>
  <c r="D259" i="4"/>
  <c r="D145" i="4"/>
  <c r="D89" i="4"/>
  <c r="D33" i="4"/>
  <c r="D308" i="4"/>
  <c r="D250" i="4"/>
  <c r="D194" i="4"/>
  <c r="D108" i="4"/>
  <c r="D52" i="4"/>
  <c r="D219" i="4"/>
  <c r="D107" i="4"/>
  <c r="D22" i="4"/>
  <c r="J9" i="7"/>
  <c r="D37" i="7"/>
  <c r="K9" i="7" s="1"/>
  <c r="M11" i="8"/>
  <c r="N6" i="8"/>
  <c r="D36" i="3"/>
  <c r="D131" i="3"/>
  <c r="D115" i="3"/>
  <c r="D108" i="3"/>
  <c r="D71" i="3"/>
  <c r="D48" i="3"/>
  <c r="D124" i="3"/>
  <c r="D21" i="3"/>
  <c r="D93" i="3"/>
  <c r="D19" i="10"/>
  <c r="D20" i="10" s="1"/>
  <c r="E12" i="10"/>
  <c r="E19" i="10" s="1"/>
  <c r="D41" i="3"/>
  <c r="M28" i="8"/>
  <c r="D78" i="3"/>
  <c r="D175" i="3"/>
  <c r="D162" i="3"/>
  <c r="D154" i="3"/>
  <c r="B26" i="8"/>
  <c r="I11" i="8"/>
  <c r="D290" i="4" l="1"/>
  <c r="D168" i="4"/>
  <c r="D111" i="4"/>
  <c r="D137" i="4"/>
  <c r="D78" i="4"/>
  <c r="D224" i="4"/>
  <c r="D32" i="4"/>
  <c r="D303" i="4"/>
  <c r="D53" i="4"/>
  <c r="D324" i="4" s="1"/>
  <c r="D88" i="4"/>
  <c r="D310" i="4"/>
  <c r="D48" i="4"/>
  <c r="D148" i="4"/>
  <c r="D323" i="4"/>
  <c r="D158" i="4"/>
  <c r="D100" i="4"/>
  <c r="D186" i="4"/>
  <c r="D255" i="4"/>
  <c r="D266" i="4"/>
  <c r="G26" i="8"/>
  <c r="L26" i="8"/>
  <c r="L30" i="8" s="1"/>
  <c r="K6" i="7" s="1"/>
  <c r="K21" i="7" s="1"/>
  <c r="K10" i="5" s="1"/>
  <c r="D26" i="8"/>
  <c r="C26" i="8"/>
  <c r="C30" i="8" s="1"/>
  <c r="I26" i="8"/>
  <c r="H26" i="8"/>
  <c r="F26" i="8"/>
  <c r="F30" i="8" s="1"/>
  <c r="E6" i="7" s="1"/>
  <c r="E21" i="7" s="1"/>
  <c r="E10" i="5" s="1"/>
  <c r="E26" i="8"/>
  <c r="E30" i="8" s="1"/>
  <c r="D6" i="7" s="1"/>
  <c r="D21" i="7" s="1"/>
  <c r="D10" i="5" s="1"/>
  <c r="K26" i="8"/>
  <c r="K30" i="8" s="1"/>
  <c r="J6" i="7" s="1"/>
  <c r="J21" i="7" s="1"/>
  <c r="J10" i="5" s="1"/>
  <c r="J26" i="8"/>
  <c r="J30" i="8" s="1"/>
  <c r="I6" i="7" s="1"/>
  <c r="I21" i="7" s="1"/>
  <c r="I10" i="5" s="1"/>
  <c r="B30" i="8"/>
  <c r="N11" i="8"/>
  <c r="O6" i="8"/>
  <c r="G25" i="8"/>
  <c r="D198" i="4"/>
  <c r="D208" i="4"/>
  <c r="D131" i="4"/>
  <c r="M26" i="8" l="1"/>
  <c r="D30" i="8"/>
  <c r="C6" i="7" s="1"/>
  <c r="C21" i="7" s="1"/>
  <c r="C10" i="5" s="1"/>
  <c r="I11" i="5"/>
  <c r="I13" i="5"/>
  <c r="J13" i="5"/>
  <c r="J11" i="5"/>
  <c r="J14" i="5" s="1"/>
  <c r="J16" i="5" s="1"/>
  <c r="G30" i="8"/>
  <c r="F6" i="7" s="1"/>
  <c r="F21" i="7" s="1"/>
  <c r="F10" i="5" s="1"/>
  <c r="O11" i="8"/>
  <c r="P6" i="8"/>
  <c r="T6" i="8" s="1"/>
  <c r="T11" i="8" s="1"/>
  <c r="H25" i="8"/>
  <c r="H30" i="8" s="1"/>
  <c r="G6" i="7" s="1"/>
  <c r="G21" i="7" s="1"/>
  <c r="G10" i="5" s="1"/>
  <c r="B6" i="7"/>
  <c r="K11" i="5"/>
  <c r="K13" i="5"/>
  <c r="D13" i="5"/>
  <c r="D11" i="5"/>
  <c r="D14" i="5" s="1"/>
  <c r="D16" i="5" s="1"/>
  <c r="D17" i="5" s="1"/>
  <c r="E11" i="5"/>
  <c r="E13" i="5"/>
  <c r="F11" i="5" l="1"/>
  <c r="F13" i="5"/>
  <c r="B21" i="7"/>
  <c r="B10" i="5" s="1"/>
  <c r="P11" i="8"/>
  <c r="I25" i="8"/>
  <c r="C13" i="5"/>
  <c r="C11" i="5"/>
  <c r="C14" i="5" s="1"/>
  <c r="C16" i="5" s="1"/>
  <c r="C17" i="5" s="1"/>
  <c r="K14" i="5"/>
  <c r="K16" i="5" s="1"/>
  <c r="J17" i="5"/>
  <c r="J18" i="5"/>
  <c r="J21" i="5" s="1"/>
  <c r="E14" i="5"/>
  <c r="E16" i="5" s="1"/>
  <c r="E17" i="5" s="1"/>
  <c r="G11" i="5"/>
  <c r="G14" i="5" s="1"/>
  <c r="G16" i="5" s="1"/>
  <c r="G17" i="5" s="1"/>
  <c r="G13" i="5"/>
  <c r="I14" i="5"/>
  <c r="I16" i="5" s="1"/>
  <c r="I17" i="5" s="1"/>
  <c r="I30" i="8" l="1"/>
  <c r="M25" i="8"/>
  <c r="B11" i="5"/>
  <c r="B13" i="5"/>
  <c r="K17" i="5"/>
  <c r="K18" i="5" s="1"/>
  <c r="K21" i="5" s="1"/>
  <c r="F14" i="5"/>
  <c r="F16" i="5" s="1"/>
  <c r="F17" i="5" s="1"/>
  <c r="B14" i="5" l="1"/>
  <c r="B16" i="5" s="1"/>
  <c r="B18" i="5" s="1"/>
  <c r="C18" i="5" s="1"/>
  <c r="D18" i="5" s="1"/>
  <c r="E18" i="5" s="1"/>
  <c r="F18" i="5" s="1"/>
  <c r="G18" i="5" s="1"/>
  <c r="H6" i="7"/>
  <c r="M30" i="8"/>
  <c r="H21" i="7" l="1"/>
  <c r="H10" i="5" s="1"/>
  <c r="L6" i="7"/>
  <c r="L21" i="7" s="1"/>
  <c r="H11" i="5" l="1"/>
  <c r="H13" i="5"/>
  <c r="H14" i="5" l="1"/>
  <c r="H16" i="5" s="1"/>
  <c r="H17" i="5" l="1"/>
  <c r="H18" i="5"/>
  <c r="I18" i="5" s="1"/>
  <c r="I21" i="5" l="1"/>
  <c r="B20" i="5"/>
  <c r="B24" i="5" l="1"/>
  <c r="B22" i="5" a="1"/>
  <c r="B22" i="5" s="1"/>
</calcChain>
</file>

<file path=xl/sharedStrings.xml><?xml version="1.0" encoding="utf-8"?>
<sst xmlns="http://schemas.openxmlformats.org/spreadsheetml/2006/main" count="1383" uniqueCount="338">
  <si>
    <t>YERBANALYTICS</t>
  </si>
  <si>
    <t>Sistema de monitoreo, diagnostico y actuacion para viveros de yerba mate</t>
  </si>
  <si>
    <t>Estado de resultados</t>
  </si>
  <si>
    <t>Inversión Inicial:</t>
  </si>
  <si>
    <t>Período</t>
  </si>
  <si>
    <t xml:space="preserve">Año 0 </t>
  </si>
  <si>
    <t>Año 1</t>
  </si>
  <si>
    <t>Año 2</t>
  </si>
  <si>
    <t>Concepto</t>
  </si>
  <si>
    <t>Start-up</t>
  </si>
  <si>
    <t>1-12</t>
  </si>
  <si>
    <t>Ingresos</t>
  </si>
  <si>
    <t>Egresos</t>
  </si>
  <si>
    <t xml:space="preserve">Resultado Bruto </t>
  </si>
  <si>
    <t>Impuesto a los Ingresos Brutos (3,8%)</t>
  </si>
  <si>
    <t>Impuesto a los débitos y créditos bancarios</t>
  </si>
  <si>
    <t>Resultado Neto antes de impuestos e intereses</t>
  </si>
  <si>
    <t>Gastos financieros (amortizaciones, creditos etc)</t>
  </si>
  <si>
    <t>N/A</t>
  </si>
  <si>
    <t>Resultado Neto antes de impuesto a las ganancias</t>
  </si>
  <si>
    <t>Impuesto a las ganancias (35%)</t>
  </si>
  <si>
    <t>Resultado Neto Acumulado</t>
  </si>
  <si>
    <t>Resultado Final Acumulado Descontado</t>
  </si>
  <si>
    <t>Tasa de corte:</t>
  </si>
  <si>
    <t>Inversion inicial</t>
  </si>
  <si>
    <t>Año 0</t>
  </si>
  <si>
    <t>Flujo de fondo</t>
  </si>
  <si>
    <t>Valor Neto Actual</t>
  </si>
  <si>
    <t>Tasa Interna de Retorno</t>
  </si>
  <si>
    <t>Rubro</t>
  </si>
  <si>
    <t>Total país</t>
  </si>
  <si>
    <t>Ajuste x Coop. Telefónicas</t>
  </si>
  <si>
    <t>Servicios Públicos</t>
  </si>
  <si>
    <t>Agropecuarias</t>
  </si>
  <si>
    <t>Consumo</t>
  </si>
  <si>
    <t>Trabajo</t>
  </si>
  <si>
    <t>Vivienda</t>
  </si>
  <si>
    <t>Provisión</t>
  </si>
  <si>
    <t>Bancarias</t>
  </si>
  <si>
    <t>Seguros</t>
  </si>
  <si>
    <t>Escolares</t>
  </si>
  <si>
    <t>Enseñanza</t>
  </si>
  <si>
    <t>Total</t>
  </si>
  <si>
    <t>Subrubro</t>
  </si>
  <si>
    <t>Total País</t>
  </si>
  <si>
    <t>Eléctricas</t>
  </si>
  <si>
    <t>de Trabajo</t>
  </si>
  <si>
    <t>Ganaderas</t>
  </si>
  <si>
    <t>de Vivienda</t>
  </si>
  <si>
    <t>de Consumo</t>
  </si>
  <si>
    <t>de Servicios Públicos</t>
  </si>
  <si>
    <t>de Provisión</t>
  </si>
  <si>
    <t>de Agua</t>
  </si>
  <si>
    <t>Telefónicas</t>
  </si>
  <si>
    <t>de Transporte</t>
  </si>
  <si>
    <t>Ahorro/Crédito/Emprend</t>
  </si>
  <si>
    <t>de Fletes/Remis/Taxis</t>
  </si>
  <si>
    <t>Vitivinícola</t>
  </si>
  <si>
    <t>Frutihortícolas</t>
  </si>
  <si>
    <t>de Salud: Medicina</t>
  </si>
  <si>
    <t>de Seguros</t>
  </si>
  <si>
    <t>de Escolares/Jardines</t>
  </si>
  <si>
    <t>de Asistencia Social</t>
  </si>
  <si>
    <t>Educación</t>
  </si>
  <si>
    <t>Arroceras</t>
  </si>
  <si>
    <t>de Salud: Farmacéuticas</t>
  </si>
  <si>
    <t>de Gas</t>
  </si>
  <si>
    <t>de Policía</t>
  </si>
  <si>
    <t>Tabacalera</t>
  </si>
  <si>
    <t>Yerbaleras</t>
  </si>
  <si>
    <t>de Salud: Salud</t>
  </si>
  <si>
    <t>de Carniceros</t>
  </si>
  <si>
    <t>Floricultoras</t>
  </si>
  <si>
    <t>Avícolas</t>
  </si>
  <si>
    <t>Textiles</t>
  </si>
  <si>
    <t>Apícolas</t>
  </si>
  <si>
    <t>de Salud: Bioquímicas</t>
  </si>
  <si>
    <t>Panificadoras</t>
  </si>
  <si>
    <t>de Comercio</t>
  </si>
  <si>
    <t>Azucareras</t>
  </si>
  <si>
    <t>de Bomberos</t>
  </si>
  <si>
    <t>Provincia</t>
  </si>
  <si>
    <t>Buenos Aires</t>
  </si>
  <si>
    <t>Total Buenos Aires</t>
  </si>
  <si>
    <t>Capital</t>
  </si>
  <si>
    <t>Total Capital</t>
  </si>
  <si>
    <t>Catamarca</t>
  </si>
  <si>
    <t>Total Catamarca</t>
  </si>
  <si>
    <t>Córdoba</t>
  </si>
  <si>
    <t>Total Córdoba</t>
  </si>
  <si>
    <t>Corrientes</t>
  </si>
  <si>
    <t>Total Corrientes</t>
  </si>
  <si>
    <t>Chaco</t>
  </si>
  <si>
    <t>Total Chaco</t>
  </si>
  <si>
    <t>Chubut</t>
  </si>
  <si>
    <t>Total Chubut</t>
  </si>
  <si>
    <t>Entre Ríos</t>
  </si>
  <si>
    <t>Total Entre Ríos</t>
  </si>
  <si>
    <t>Formosa</t>
  </si>
  <si>
    <t>Total Formosa</t>
  </si>
  <si>
    <t>Jujuy</t>
  </si>
  <si>
    <t>Total Jujuy</t>
  </si>
  <si>
    <t>La Pampa</t>
  </si>
  <si>
    <t>Total La Pampa</t>
  </si>
  <si>
    <t>La Rioja</t>
  </si>
  <si>
    <t>Total La Rioja</t>
  </si>
  <si>
    <t>Mendoza</t>
  </si>
  <si>
    <t>Total Mendoza</t>
  </si>
  <si>
    <t>Misiones</t>
  </si>
  <si>
    <t>Total Misiones</t>
  </si>
  <si>
    <t>Neuquén</t>
  </si>
  <si>
    <t>Total Neuquén</t>
  </si>
  <si>
    <t>Río Negro</t>
  </si>
  <si>
    <t>Total Río Negro</t>
  </si>
  <si>
    <t>Salta</t>
  </si>
  <si>
    <t>Total Salta</t>
  </si>
  <si>
    <t>San Juan</t>
  </si>
  <si>
    <t>Total San Juan</t>
  </si>
  <si>
    <t>San Luis</t>
  </si>
  <si>
    <t>Total San Luis</t>
  </si>
  <si>
    <t>Santa Cruz</t>
  </si>
  <si>
    <t>Total Santa Cruz</t>
  </si>
  <si>
    <t>Santa Fe</t>
  </si>
  <si>
    <t>Total Santa Fe</t>
  </si>
  <si>
    <t>Santiago del</t>
  </si>
  <si>
    <t>Total Santiago del</t>
  </si>
  <si>
    <t>Tierra del Fu</t>
  </si>
  <si>
    <t>Total Tierra del Fu</t>
  </si>
  <si>
    <t>Tucumán</t>
  </si>
  <si>
    <t>Total Tucumán</t>
  </si>
  <si>
    <t>Total general</t>
  </si>
  <si>
    <t>YERBANALYTICS - Planilla de Ingresos</t>
  </si>
  <si>
    <t>Planilla de Ingresos</t>
  </si>
  <si>
    <t/>
  </si>
  <si>
    <t>Mercado Objetivo (NEA: Misiones y Corrientes)</t>
  </si>
  <si>
    <t>Usuarios</t>
  </si>
  <si>
    <t>Facturacion</t>
  </si>
  <si>
    <t>Inversion</t>
  </si>
  <si>
    <t>Users</t>
  </si>
  <si>
    <t xml:space="preserve"> Monthly  Bill</t>
  </si>
  <si>
    <t>Viveros yerbateros dedicados</t>
  </si>
  <si>
    <t>Viveros</t>
  </si>
  <si>
    <t>Cooperativas con vivero central</t>
  </si>
  <si>
    <t>Cooperativas</t>
  </si>
  <si>
    <t>Productores con vivero propio</t>
  </si>
  <si>
    <t>Productores</t>
  </si>
  <si>
    <t>-</t>
  </si>
  <si>
    <t>Total mercado potencial</t>
  </si>
  <si>
    <t>Periodo</t>
  </si>
  <si>
    <t>Total Acumulado</t>
  </si>
  <si>
    <t>3 años</t>
  </si>
  <si>
    <t>Aporte de Socios</t>
  </si>
  <si>
    <t>Venta de simuladores</t>
  </si>
  <si>
    <t>Suscripción a soporte</t>
  </si>
  <si>
    <t>Jornadas de capacitación</t>
  </si>
  <si>
    <t>Total Ingresos</t>
  </si>
  <si>
    <t>Detalle</t>
  </si>
  <si>
    <t>Precio de venta x Unidad</t>
  </si>
  <si>
    <t>Cantidad de Ventas</t>
  </si>
  <si>
    <t xml:space="preserve">Año 1 </t>
  </si>
  <si>
    <t xml:space="preserve">Año 2 </t>
  </si>
  <si>
    <t>Simulador</t>
  </si>
  <si>
    <t>Soporte mensual</t>
  </si>
  <si>
    <t>Planilla de Gastos</t>
  </si>
  <si>
    <t>1-6</t>
  </si>
  <si>
    <t>Recursos Humanos</t>
  </si>
  <si>
    <t>Muebles y Utiles</t>
  </si>
  <si>
    <t>Equipamiento</t>
  </si>
  <si>
    <t>Equipamiento Simulador</t>
  </si>
  <si>
    <t>Alquiler de Oficina</t>
  </si>
  <si>
    <t>Expensas</t>
  </si>
  <si>
    <t>Servicios Públicos e Impuestos</t>
  </si>
  <si>
    <t>Papeleria y útiles</t>
  </si>
  <si>
    <t>Telefono y Celulares</t>
  </si>
  <si>
    <t>Movilidad y Viaticos</t>
  </si>
  <si>
    <t>Seguros (1% de Activos)</t>
  </si>
  <si>
    <t>Conexión a Internet</t>
  </si>
  <si>
    <t>Proveedores</t>
  </si>
  <si>
    <t>Campaña de Marketing</t>
  </si>
  <si>
    <t>Total de Egresos</t>
  </si>
  <si>
    <t>Análisis del crédito bancario</t>
  </si>
  <si>
    <t>Sistema de Amortización Pago Único</t>
  </si>
  <si>
    <t>Tasa de interés</t>
  </si>
  <si>
    <t>TEM</t>
  </si>
  <si>
    <t>Cantidad de periodos</t>
  </si>
  <si>
    <t>Monto final préstamo</t>
  </si>
  <si>
    <t>Monto por mes en base a periodo</t>
  </si>
  <si>
    <t>|</t>
  </si>
  <si>
    <t>Costo x Unidad</t>
  </si>
  <si>
    <t>Cantidad de unidades fabricadas</t>
  </si>
  <si>
    <t xml:space="preserve">Costo por Producto X </t>
  </si>
  <si>
    <t>Sueldo</t>
  </si>
  <si>
    <t>Cargas</t>
  </si>
  <si>
    <t>Aguinaldo</t>
  </si>
  <si>
    <t>Vacaciones</t>
  </si>
  <si>
    <t>Merma</t>
  </si>
  <si>
    <t>Ausentismo</t>
  </si>
  <si>
    <t xml:space="preserve">Costo Laboral </t>
  </si>
  <si>
    <t>Neto</t>
  </si>
  <si>
    <t>Sociales</t>
  </si>
  <si>
    <t>c/Impuestos</t>
  </si>
  <si>
    <t>Prorrateado</t>
  </si>
  <si>
    <t>Licencias</t>
  </si>
  <si>
    <t>Productividad</t>
  </si>
  <si>
    <t>Unitario Total</t>
  </si>
  <si>
    <t>Lider de Proyecto / Product Owner (fundador)</t>
  </si>
  <si>
    <t>Desarrollador (full-stack / IoT)</t>
  </si>
  <si>
    <t>Ingeniero de IA / ML (fundador)</t>
  </si>
  <si>
    <t>Tecnico de Soporte e Instalacion</t>
  </si>
  <si>
    <t>Responsable Comercial / Marketing</t>
  </si>
  <si>
    <t>Total de Recursos Humanos</t>
  </si>
  <si>
    <t>Parametros de Cálculo</t>
  </si>
  <si>
    <t>Cargas Sociales</t>
  </si>
  <si>
    <t>Vacaciones y Licencias</t>
  </si>
  <si>
    <t>Merma de Productividad</t>
  </si>
  <si>
    <t>Costos Laborales</t>
  </si>
  <si>
    <t>Se aplica un 20% de aumento en el costo laboral del segundo y tercer año.</t>
  </si>
  <si>
    <t>Costo</t>
  </si>
  <si>
    <t>Star-up</t>
  </si>
  <si>
    <t>Laboral</t>
  </si>
  <si>
    <t>Uso</t>
  </si>
  <si>
    <t>Product Owner</t>
  </si>
  <si>
    <t>Desarrollador</t>
  </si>
  <si>
    <t>Scrum Master</t>
  </si>
  <si>
    <t>Técnico de soporte</t>
  </si>
  <si>
    <t>Gerente de Marketing</t>
  </si>
  <si>
    <t>Totales Costo Laboral</t>
  </si>
  <si>
    <t xml:space="preserve">Inversiones  </t>
  </si>
  <si>
    <t>Startup</t>
  </si>
  <si>
    <t>Cantidad</t>
  </si>
  <si>
    <t>Escritorios</t>
  </si>
  <si>
    <t>Sillas</t>
  </si>
  <si>
    <t>Router / Networking oficina</t>
  </si>
  <si>
    <t>Telefonos IP</t>
  </si>
  <si>
    <t>Armarios</t>
  </si>
  <si>
    <t>Subtotal Inversiones Muebles y Utiles</t>
  </si>
  <si>
    <t>Notebooks de desarrollo (5)</t>
  </si>
  <si>
    <t>Servidor / NAS de desarrollo</t>
  </si>
  <si>
    <t>Rack</t>
  </si>
  <si>
    <t>Impresora laser</t>
  </si>
  <si>
    <t>Router / switching</t>
  </si>
  <si>
    <t>Switch 24 bocas</t>
  </si>
  <si>
    <t>Impresora 3D + banco de prototipado MVP (placas, sensores de prueba)</t>
  </si>
  <si>
    <t>Subtotal Equipamiento</t>
  </si>
  <si>
    <t>Total Inversiones</t>
  </si>
  <si>
    <t xml:space="preserve">Equipamiento Producto </t>
  </si>
  <si>
    <t>Sistema Gantry de vision (riel + motores + estructura)</t>
  </si>
  <si>
    <t>Conjunto microaspersor + solenoide por sector</t>
  </si>
  <si>
    <t>Nodo sensor testigo (ESP32 + humedad/EC/pH/temp/HR/luz + gabinete IP65)</t>
  </si>
  <si>
    <t>Electrovalvula maestra (macro-zona)</t>
  </si>
  <si>
    <t>Bomba peristaltica de dosificacion</t>
  </si>
  <si>
    <t>Modulo de vision + computo edge (Jetson + camara)</t>
  </si>
  <si>
    <t>Actuador motorizado de mediasombra</t>
  </si>
  <si>
    <t>Gateway / controlador central</t>
  </si>
  <si>
    <t>Kit energia solar + baterias (respaldo autonomo)</t>
  </si>
  <si>
    <t>Kit Starlink (antena + instalacion)</t>
  </si>
  <si>
    <t>Tablero electrico + cableado + protecciones</t>
  </si>
  <si>
    <t>Hidraulica (canos, filtros, conectores, tanques)</t>
  </si>
  <si>
    <t>Consumibles e imprevistos de instalacion</t>
  </si>
  <si>
    <t>Total Equipamiento Producto X</t>
  </si>
  <si>
    <t>Amortizaciones</t>
  </si>
  <si>
    <t>Vida Util</t>
  </si>
  <si>
    <t xml:space="preserve">Amortización </t>
  </si>
  <si>
    <t>Amortización</t>
  </si>
  <si>
    <t>Valor</t>
  </si>
  <si>
    <t>Vida Útil</t>
  </si>
  <si>
    <t>meses</t>
  </si>
  <si>
    <t>7 meses</t>
  </si>
  <si>
    <t xml:space="preserve"> Acumulada</t>
  </si>
  <si>
    <t>Residual</t>
  </si>
  <si>
    <t>Hardware</t>
  </si>
  <si>
    <t xml:space="preserve">Escritorios </t>
  </si>
  <si>
    <t xml:space="preserve">Software </t>
  </si>
  <si>
    <t>Software Licencias</t>
  </si>
  <si>
    <t>Router Telefonia IP</t>
  </si>
  <si>
    <t>Teléfonos IP</t>
  </si>
  <si>
    <t>Computadoras Portátiles (Dell Vostro I3 4gb 1tb)</t>
  </si>
  <si>
    <t xml:space="preserve">Servidor </t>
  </si>
  <si>
    <t>Rack Servidor</t>
  </si>
  <si>
    <t>Impresoras laser BN</t>
  </si>
  <si>
    <t>Router</t>
  </si>
  <si>
    <t>Impresora 3D</t>
  </si>
  <si>
    <t>Total Amortizaciones</t>
  </si>
  <si>
    <t>FLUJO DE INGRESOS</t>
  </si>
  <si>
    <t>Servicios Pagos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</si>
  <si>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</si>
  <si>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</si>
  <si>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</si>
  <si>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</si>
  <si>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</si>
  <si>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</si>
  <si>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</si>
  <si>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</si>
  <si>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 xml:space="preserve"> mes 9</t>
  </si>
  <si>
    <t>mes 10</t>
  </si>
  <si>
    <t>mes 11</t>
  </si>
  <si>
    <t>mes 12</t>
  </si>
  <si>
    <t>Acumulado Anual</t>
  </si>
  <si>
    <t>Unidades</t>
  </si>
  <si>
    <t>Soluciones de Intra/Extranets</t>
  </si>
  <si>
    <t>TOTAL INGRESOS</t>
  </si>
  <si>
    <t>FLUJO DE EGRESOS</t>
  </si>
  <si>
    <t>Costos por desarrollo de Servicios</t>
  </si>
  <si>
    <t>Soluciones de Intra/Extranets
 - Basado en la Cotización del Pool de Compras (Top Group)</t>
  </si>
  <si>
    <t>TOTAL COSTO DESARROLLO</t>
  </si>
  <si>
    <t>INGRESOS NETOS INTRA/EXTRANETS</t>
  </si>
  <si>
    <t>DISTRIBUCION ESTIM. DE VENTAS</t>
  </si>
  <si>
    <t>Comisión por ventas Directas no tel.</t>
  </si>
  <si>
    <t>Comisión por ventas Telefónicas</t>
  </si>
  <si>
    <t>Comisión por ventas Indirectas</t>
  </si>
  <si>
    <t>TOTAL COMISION A CANALES</t>
  </si>
  <si>
    <t>COMISIONES POR VENTAS</t>
  </si>
  <si>
    <t>CUADRO DE RESULTADOS</t>
  </si>
  <si>
    <t>FLUJO DE FONDOS PROYECTADO A 12 MESES</t>
  </si>
  <si>
    <t>Momento Inicial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</si>
  <si>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</si>
  <si>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</si>
  <si>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</si>
  <si>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</si>
  <si>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</si>
  <si>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</si>
  <si>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</si>
  <si>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</si>
  <si>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</si>
  <si>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</si>
  <si>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</si>
  <si>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</si>
  <si>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TOTAL EGRESOS</t>
  </si>
  <si>
    <t>RESULTADO NETO</t>
  </si>
  <si>
    <t>TOTAL INVERSIONES</t>
  </si>
  <si>
    <t>TOTAL DEPRECIACIONES</t>
  </si>
  <si>
    <t>GANANCIA A. IMPUESTOS (EBIT)</t>
  </si>
  <si>
    <t>GANANCIA D. IMPUESTOS</t>
  </si>
  <si>
    <t>EBITDA</t>
  </si>
  <si>
    <t>VAN (10% anual) =</t>
  </si>
  <si>
    <t>T.E.M</t>
  </si>
  <si>
    <t>TIR =</t>
  </si>
  <si>
    <t>PUNTO DE EQUILIBRIO 
(V.T.D. 0,8% mensual)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</si>
</sst>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$&quot;\ * #,##0_-;\-&quot;$&quot;\ * #,##0_-;_-&quot;$&quot;\ * &quot;-&quot;_-;_-@_-"/>
    <numFmt numFmtId="41" formatCode="_-* #,##0_-;\-* #,##0_-;_-* &quot;-&quot;_-;_-@_-"/>
    <numFmt numFmtId="164" formatCode="&quot;$&quot;\ #,##0"/>
    <numFmt numFmtId="165" formatCode="&quot;$&quot;#,##0.00_);[Red]\(&quot;$&quot;#,##0.00\)"/>
    <numFmt numFmtId="166" formatCode="&quot;$&quot;\ #,##0.00"/>
    <numFmt numFmtId="167" formatCode="&quot;$&quot;\ #,##0.00_);[Red]\(&quot;$&quot;\ #,##0.00\)"/>
    <numFmt numFmtId="168" formatCode="&quot;$&quot;\ #,##0.00;[Red]&quot;$&quot;\ \-#,##0.00"/>
    <numFmt numFmtId="169" formatCode="0.0000%"/>
    <numFmt numFmtId="170" formatCode="_(* #,##0_);_(* \(#,##0\);_(* &quot;-&quot;??_);_(@_)"/>
    <numFmt numFmtId="171" formatCode="[$$-2C0A]\ #,##0.00"/>
    <numFmt numFmtId="172" formatCode="[$$-2C0A]\ #,##0"/>
    <numFmt numFmtId="173" formatCode="mmm\-yyyy"/>
    <numFmt numFmtId="174" formatCode="_(&quot;N$&quot;* #,##0_);_(&quot;N$&quot;* \(#,##0\);_(&quot;N$&quot;* &quot;-&quot;??_);_(@_)"/>
    <numFmt numFmtId="175" formatCode="[$ $]#,##0.00"/>
  </numFmts>
  <fonts count="19" x14ac:knownFonts="1">
    <font>
      <sz val="10"/>
      <color rgb="FF000000"/>
      <name val="Arial"/>
    </font>
    <font>
      <sz val="10"/>
      <color rgb="FF000000"/>
      <name val="Open Sans"/>
    </font>
    <font>
      <b/>
      <sz val="10"/>
      <color rgb="FF000000"/>
      <name val="Arial"/>
    </font>
    <font>
      <b/>
      <sz val="10"/>
      <color theme="1"/>
      <name val="Arial"/>
    </font>
    <font>
      <b/>
      <sz val="16"/>
      <color rgb="FF000000"/>
      <name val="Arial"/>
    </font>
    <font>
      <b/>
      <sz val="16"/>
      <color theme="1"/>
      <name val="Arial"/>
    </font>
    <font>
      <sz val="10"/>
      <color theme="1"/>
      <name val="Arial"/>
    </font>
    <font>
      <b/>
      <sz val="14"/>
      <color theme="1"/>
      <name val="Arial"/>
    </font>
    <font>
      <b/>
      <sz val="8"/>
      <color rgb="FFFFFFFF"/>
      <name val="Arial"/>
    </font>
    <font>
      <b/>
      <sz val="8"/>
      <color theme="1"/>
      <name val="Arial"/>
    </font>
    <font>
      <sz val="8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b/>
      <u/>
      <sz val="10"/>
      <color theme="1"/>
      <name val="Arial"/>
    </font>
    <font>
      <b/>
      <sz val="10"/>
      <color rgb="FFFFFFFF"/>
      <name val="Arial"/>
    </font>
    <font>
      <b/>
      <sz val="10"/>
      <color rgb="FFFF0000"/>
      <name val="Arial"/>
    </font>
    <font>
      <b/>
      <sz val="11"/>
      <color theme="1"/>
      <name val="Arial"/>
    </font>
    <font>
      <u/>
      <sz val="10"/>
      <color theme="1"/>
      <name val="Arial"/>
    </font>
    <font>
      <sz val="10"/>
      <color rgb="FFFF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008000"/>
        <bgColor rgb="FF008000"/>
      </patternFill>
    </fill>
    <fill>
      <patternFill patternType="solid">
        <fgColor rgb="FFFFFF99"/>
        <bgColor rgb="FFFFFF99"/>
      </patternFill>
    </fill>
    <fill>
      <patternFill patternType="solid">
        <fgColor rgb="FFFFFE9F"/>
        <bgColor rgb="FFFFFE9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14"/>
  </cellStyleXfs>
  <cellXfs count="254">
    <xf numFmtId="0" fontId="0" fillId="0" borderId="0" xfId="0" applyBorder="1"/>
    <xf numFmtId="0" fontId="0" fillId="2" borderId="1" xfId="0" applyFill="1" applyBorder="1" applyAlignment="1">
      <alignment horizontal="center"/>
    </xf>
    <xf numFmtId="0" fontId="1" fillId="0" borderId="0" xfId="0" applyFont="1" applyBorder="1"/>
    <xf numFmtId="0" fontId="0" fillId="0" borderId="2" xfId="0" applyBorder="1" applyAlignment="1">
      <alignment horizontal="left" wrapText="1"/>
    </xf>
    <xf numFmtId="0" fontId="0" fillId="2" borderId="1" xfId="0" quotePrefix="1" applyFill="1" applyBorder="1" applyAlignment="1">
      <alignment horizontal="center"/>
    </xf>
    <xf numFmtId="0" fontId="0" fillId="0" borderId="2" xfId="0" applyBorder="1" applyAlignment="1">
      <alignment horizontal="right" wrapText="1"/>
    </xf>
    <xf numFmtId="0" fontId="1" fillId="0" borderId="1" xfId="0" applyFont="1" applyBorder="1"/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wrapText="1"/>
    </xf>
    <xf numFmtId="0" fontId="0" fillId="0" borderId="2" xfId="0" quotePrefix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right" wrapText="1"/>
    </xf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164" fontId="2" fillId="0" borderId="4" xfId="0" applyNumberFormat="1" applyFont="1" applyBorder="1"/>
    <xf numFmtId="0" fontId="6" fillId="0" borderId="0" xfId="0" applyFont="1" applyBorder="1" applyAlignment="1">
      <alignment horizontal="left"/>
    </xf>
    <xf numFmtId="3" fontId="6" fillId="0" borderId="0" xfId="0" applyNumberFormat="1" applyFont="1" applyBorder="1"/>
    <xf numFmtId="1" fontId="8" fillId="3" borderId="5" xfId="0" quotePrefix="1" applyNumberFormat="1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1" fontId="8" fillId="3" borderId="7" xfId="0" applyNumberFormat="1" applyFont="1" applyFill="1" applyBorder="1" applyAlignment="1">
      <alignment horizontal="center"/>
    </xf>
    <xf numFmtId="1" fontId="8" fillId="3" borderId="8" xfId="0" applyNumberFormat="1" applyFont="1" applyFill="1" applyBorder="1" applyAlignment="1">
      <alignment horizontal="center"/>
    </xf>
    <xf numFmtId="164" fontId="10" fillId="0" borderId="9" xfId="0" applyNumberFormat="1" applyFont="1" applyBorder="1" applyAlignment="1">
      <alignment horizontal="right"/>
    </xf>
    <xf numFmtId="164" fontId="10" fillId="0" borderId="10" xfId="0" applyNumberFormat="1" applyFont="1" applyBorder="1" applyAlignment="1">
      <alignment horizontal="right"/>
    </xf>
    <xf numFmtId="0" fontId="9" fillId="4" borderId="6" xfId="0" applyFont="1" applyFill="1" applyBorder="1"/>
    <xf numFmtId="164" fontId="10" fillId="5" borderId="11" xfId="0" applyNumberFormat="1" applyFont="1" applyFill="1" applyBorder="1" applyAlignment="1">
      <alignment horizontal="right"/>
    </xf>
    <xf numFmtId="164" fontId="10" fillId="5" borderId="12" xfId="0" applyNumberFormat="1" applyFont="1" applyFill="1" applyBorder="1" applyAlignment="1">
      <alignment horizontal="right"/>
    </xf>
    <xf numFmtId="164" fontId="10" fillId="5" borderId="13" xfId="0" applyNumberFormat="1" applyFont="1" applyFill="1" applyBorder="1" applyAlignment="1">
      <alignment horizontal="right"/>
    </xf>
    <xf numFmtId="0" fontId="9" fillId="4" borderId="6" xfId="0" applyFont="1" applyFill="1" applyBorder="1" applyAlignment="1">
      <alignment horizontal="left"/>
    </xf>
    <xf numFmtId="0" fontId="11" fillId="0" borderId="0" xfId="0" applyFont="1" applyBorder="1"/>
    <xf numFmtId="42" fontId="11" fillId="0" borderId="0" xfId="0" applyNumberFormat="1" applyFont="1" applyBorder="1" applyAlignment="1">
      <alignment horizontal="left"/>
    </xf>
    <xf numFmtId="165" fontId="12" fillId="0" borderId="4" xfId="0" applyNumberFormat="1" applyFont="1" applyBorder="1"/>
    <xf numFmtId="10" fontId="12" fillId="0" borderId="4" xfId="0" applyNumberFormat="1" applyFont="1" applyBorder="1" applyAlignment="1">
      <alignment horizontal="center"/>
    </xf>
    <xf numFmtId="166" fontId="11" fillId="0" borderId="0" xfId="0" applyNumberFormat="1" applyFont="1" applyBorder="1" applyAlignment="1">
      <alignment horizontal="center"/>
    </xf>
    <xf numFmtId="42" fontId="9" fillId="6" borderId="14" xfId="0" applyNumberFormat="1" applyFont="1" applyFill="1" applyAlignment="1">
      <alignment horizontal="left" wrapText="1"/>
    </xf>
    <xf numFmtId="10" fontId="11" fillId="0" borderId="0" xfId="0" applyNumberFormat="1" applyFont="1" applyBorder="1" applyAlignment="1">
      <alignment horizontal="center"/>
    </xf>
    <xf numFmtId="42" fontId="9" fillId="6" borderId="14" xfId="0" applyNumberFormat="1" applyFont="1" applyFill="1" applyAlignment="1">
      <alignment horizontal="left"/>
    </xf>
    <xf numFmtId="42" fontId="12" fillId="0" borderId="0" xfId="0" applyNumberFormat="1" applyFont="1" applyBorder="1" applyAlignment="1">
      <alignment horizontal="left"/>
    </xf>
    <xf numFmtId="0" fontId="3" fillId="0" borderId="4" xfId="0" applyFont="1" applyBorder="1"/>
    <xf numFmtId="167" fontId="10" fillId="0" borderId="0" xfId="0" applyNumberFormat="1" applyFont="1" applyBorder="1"/>
    <xf numFmtId="168" fontId="6" fillId="0" borderId="0" xfId="0" applyNumberFormat="1" applyFont="1" applyBorder="1"/>
    <xf numFmtId="166" fontId="6" fillId="0" borderId="0" xfId="0" applyNumberFormat="1" applyFont="1" applyBorder="1"/>
    <xf numFmtId="2" fontId="6" fillId="0" borderId="0" xfId="0" applyNumberFormat="1" applyFont="1" applyBorder="1"/>
    <xf numFmtId="169" fontId="11" fillId="0" borderId="4" xfId="0" applyNumberFormat="1" applyFont="1" applyBorder="1"/>
    <xf numFmtId="9" fontId="6" fillId="0" borderId="0" xfId="0" applyNumberFormat="1" applyFont="1" applyBorder="1"/>
    <xf numFmtId="9" fontId="0" fillId="0" borderId="0" xfId="0" applyNumberFormat="1" applyBorder="1"/>
    <xf numFmtId="168" fontId="0" fillId="0" borderId="0" xfId="0" applyNumberFormat="1" applyBorder="1"/>
    <xf numFmtId="0" fontId="5" fillId="0" borderId="0" xfId="0" applyFont="1" applyBorder="1" applyAlignment="1">
      <alignment horizontal="left"/>
    </xf>
    <xf numFmtId="4" fontId="6" fillId="0" borderId="0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4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14" fillId="3" borderId="6" xfId="0" applyFont="1" applyFill="1" applyBorder="1" applyAlignment="1">
      <alignment horizontal="left"/>
    </xf>
    <xf numFmtId="0" fontId="14" fillId="3" borderId="7" xfId="0" applyFont="1" applyFill="1" applyBorder="1" applyAlignment="1">
      <alignment horizontal="left"/>
    </xf>
    <xf numFmtId="4" fontId="14" fillId="3" borderId="7" xfId="0" applyNumberFormat="1" applyFont="1" applyFill="1" applyBorder="1" applyAlignment="1">
      <alignment horizontal="right"/>
    </xf>
    <xf numFmtId="4" fontId="14" fillId="3" borderId="14" xfId="0" applyNumberFormat="1" applyFont="1" applyFill="1" applyAlignment="1">
      <alignment horizontal="right"/>
    </xf>
    <xf numFmtId="0" fontId="14" fillId="0" borderId="0" xfId="0" applyFont="1" applyBorder="1" applyAlignment="1">
      <alignment horizontal="left"/>
    </xf>
    <xf numFmtId="170" fontId="6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42" fontId="6" fillId="0" borderId="0" xfId="0" applyNumberFormat="1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4" fontId="6" fillId="0" borderId="16" xfId="0" applyNumberFormat="1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3" fillId="0" borderId="17" xfId="0" applyFont="1" applyBorder="1" applyAlignment="1">
      <alignment horizontal="left"/>
    </xf>
    <xf numFmtId="42" fontId="3" fillId="0" borderId="0" xfId="0" applyNumberFormat="1" applyFont="1" applyBorder="1" applyAlignment="1">
      <alignment horizontal="left"/>
    </xf>
    <xf numFmtId="0" fontId="14" fillId="3" borderId="5" xfId="0" applyFont="1" applyFill="1" applyBorder="1" applyAlignment="1">
      <alignment horizontal="center"/>
    </xf>
    <xf numFmtId="1" fontId="14" fillId="3" borderId="14" xfId="0" quotePrefix="1" applyNumberFormat="1" applyFont="1" applyFill="1" applyAlignment="1">
      <alignment horizontal="center"/>
    </xf>
    <xf numFmtId="4" fontId="14" fillId="3" borderId="5" xfId="0" applyNumberFormat="1" applyFont="1" applyFill="1" applyBorder="1" applyAlignment="1">
      <alignment horizontal="center"/>
    </xf>
    <xf numFmtId="41" fontId="6" fillId="0" borderId="0" xfId="0" applyNumberFormat="1" applyFont="1" applyBorder="1"/>
    <xf numFmtId="10" fontId="6" fillId="0" borderId="0" xfId="0" applyNumberFormat="1" applyFont="1" applyBorder="1"/>
    <xf numFmtId="0" fontId="14" fillId="3" borderId="18" xfId="0" applyFont="1" applyFill="1" applyBorder="1" applyAlignment="1">
      <alignment horizontal="center"/>
    </xf>
    <xf numFmtId="1" fontId="14" fillId="3" borderId="18" xfId="0" applyNumberFormat="1" applyFont="1" applyFill="1" applyBorder="1" applyAlignment="1">
      <alignment horizontal="center"/>
    </xf>
    <xf numFmtId="1" fontId="14" fillId="3" borderId="14" xfId="0" applyNumberFormat="1" applyFont="1" applyFill="1" applyAlignment="1">
      <alignment horizontal="center"/>
    </xf>
    <xf numFmtId="164" fontId="6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/>
    </xf>
    <xf numFmtId="164" fontId="6" fillId="7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left" wrapText="1"/>
    </xf>
    <xf numFmtId="164" fontId="0" fillId="0" borderId="1" xfId="0" applyNumberFormat="1" applyBorder="1" applyAlignment="1">
      <alignment horizontal="right"/>
    </xf>
    <xf numFmtId="164" fontId="3" fillId="4" borderId="19" xfId="0" applyNumberFormat="1" applyFont="1" applyFill="1" applyBorder="1" applyAlignment="1">
      <alignment horizontal="right"/>
    </xf>
    <xf numFmtId="0" fontId="15" fillId="0" borderId="0" xfId="0" applyFont="1" applyBorder="1"/>
    <xf numFmtId="0" fontId="14" fillId="3" borderId="1" xfId="0" applyFont="1" applyFill="1" applyBorder="1" applyAlignment="1">
      <alignment horizontal="center" wrapText="1"/>
    </xf>
    <xf numFmtId="1" fontId="14" fillId="3" borderId="1" xfId="0" quotePrefix="1" applyNumberFormat="1" applyFont="1" applyFill="1" applyBorder="1" applyAlignment="1">
      <alignment horizontal="center" vertical="center"/>
    </xf>
    <xf numFmtId="1" fontId="14" fillId="3" borderId="1" xfId="0" quotePrefix="1" applyNumberFormat="1" applyFont="1" applyFill="1" applyBorder="1" applyAlignment="1">
      <alignment horizontal="center"/>
    </xf>
    <xf numFmtId="164" fontId="0" fillId="0" borderId="9" xfId="0" applyNumberFormat="1" applyBorder="1" applyAlignment="1">
      <alignment horizontal="right"/>
    </xf>
    <xf numFmtId="3" fontId="0" fillId="0" borderId="9" xfId="0" applyNumberFormat="1" applyBorder="1" applyAlignment="1">
      <alignment horizontal="right"/>
    </xf>
    <xf numFmtId="164" fontId="6" fillId="0" borderId="9" xfId="0" applyNumberFormat="1" applyFont="1" applyBorder="1" applyAlignment="1">
      <alignment horizontal="right"/>
    </xf>
    <xf numFmtId="3" fontId="0" fillId="0" borderId="1" xfId="0" applyNumberFormat="1" applyBorder="1" applyAlignment="1">
      <alignment horizontal="right"/>
    </xf>
    <xf numFmtId="1" fontId="14" fillId="3" borderId="5" xfId="0" applyNumberFormat="1" applyFont="1" applyFill="1" applyBorder="1" applyAlignment="1">
      <alignment horizontal="center"/>
    </xf>
    <xf numFmtId="0" fontId="14" fillId="0" borderId="0" xfId="0" applyFont="1" applyBorder="1"/>
    <xf numFmtId="0" fontId="14" fillId="3" borderId="18" xfId="0" applyFont="1" applyFill="1" applyBorder="1" applyAlignment="1">
      <alignment horizontal="left"/>
    </xf>
    <xf numFmtId="0" fontId="14" fillId="3" borderId="14" xfId="0" applyFont="1" applyFill="1" applyAlignment="1">
      <alignment horizontal="center"/>
    </xf>
    <xf numFmtId="1" fontId="8" fillId="3" borderId="14" xfId="0" applyNumberFormat="1" applyFont="1" applyFill="1" applyAlignment="1">
      <alignment horizontal="center"/>
    </xf>
    <xf numFmtId="1" fontId="8" fillId="3" borderId="14" xfId="0" quotePrefix="1" applyNumberFormat="1" applyFont="1" applyFill="1" applyAlignment="1">
      <alignment horizontal="center"/>
    </xf>
    <xf numFmtId="164" fontId="6" fillId="0" borderId="1" xfId="0" applyNumberFormat="1" applyFont="1" applyBorder="1"/>
    <xf numFmtId="42" fontId="6" fillId="0" borderId="1" xfId="0" applyNumberFormat="1" applyFont="1" applyBorder="1" applyAlignment="1">
      <alignment horizontal="left"/>
    </xf>
    <xf numFmtId="0" fontId="6" fillId="0" borderId="1" xfId="0" quotePrefix="1" applyFont="1" applyBorder="1" applyAlignment="1">
      <alignment horizontal="left"/>
    </xf>
    <xf numFmtId="0" fontId="6" fillId="0" borderId="1" xfId="0" applyFont="1" applyBorder="1"/>
    <xf numFmtId="171" fontId="6" fillId="0" borderId="1" xfId="0" applyNumberFormat="1" applyFont="1" applyBorder="1" applyAlignment="1">
      <alignment horizontal="right"/>
    </xf>
    <xf numFmtId="172" fontId="6" fillId="0" borderId="1" xfId="0" applyNumberFormat="1" applyFont="1" applyBorder="1" applyAlignment="1">
      <alignment horizontal="right"/>
    </xf>
    <xf numFmtId="42" fontId="3" fillId="4" borderId="19" xfId="0" applyNumberFormat="1" applyFont="1" applyFill="1" applyBorder="1" applyAlignment="1">
      <alignment horizontal="center"/>
    </xf>
    <xf numFmtId="164" fontId="6" fillId="0" borderId="0" xfId="0" applyNumberFormat="1" applyFont="1" applyBorder="1"/>
    <xf numFmtId="0" fontId="6" fillId="0" borderId="9" xfId="0" applyFont="1" applyBorder="1"/>
    <xf numFmtId="171" fontId="6" fillId="0" borderId="9" xfId="0" applyNumberFormat="1" applyFont="1" applyBorder="1"/>
    <xf numFmtId="0" fontId="3" fillId="4" borderId="1" xfId="0" applyFont="1" applyFill="1" applyBorder="1"/>
    <xf numFmtId="171" fontId="3" fillId="4" borderId="1" xfId="0" applyNumberFormat="1" applyFont="1" applyFill="1" applyBorder="1"/>
    <xf numFmtId="0" fontId="14" fillId="3" borderId="1" xfId="0" applyFont="1" applyFill="1" applyBorder="1" applyAlignment="1">
      <alignment horizontal="center" vertical="center" wrapText="1"/>
    </xf>
    <xf numFmtId="1" fontId="14" fillId="3" borderId="1" xfId="0" quotePrefix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wrapText="1"/>
    </xf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" fontId="14" fillId="0" borderId="0" xfId="0" applyNumberFormat="1" applyFont="1" applyBorder="1" applyAlignment="1">
      <alignment horizontal="center"/>
    </xf>
    <xf numFmtId="164" fontId="0" fillId="7" borderId="1" xfId="0" applyNumberFormat="1" applyFill="1" applyBorder="1" applyAlignment="1">
      <alignment horizontal="right"/>
    </xf>
    <xf numFmtId="1" fontId="6" fillId="7" borderId="23" xfId="0" applyNumberFormat="1" applyFont="1" applyFill="1" applyBorder="1" applyAlignment="1">
      <alignment horizontal="center"/>
    </xf>
    <xf numFmtId="1" fontId="6" fillId="0" borderId="24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2" fontId="6" fillId="0" borderId="23" xfId="0" applyNumberFormat="1" applyFont="1" applyBorder="1" applyAlignment="1">
      <alignment horizontal="center"/>
    </xf>
    <xf numFmtId="1" fontId="0" fillId="7" borderId="23" xfId="0" applyNumberFormat="1" applyFill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164" fontId="6" fillId="7" borderId="26" xfId="0" applyNumberFormat="1" applyFont="1" applyFill="1" applyBorder="1" applyAlignment="1">
      <alignment horizontal="right"/>
    </xf>
    <xf numFmtId="164" fontId="6" fillId="7" borderId="27" xfId="0" applyNumberFormat="1" applyFont="1" applyFill="1" applyBorder="1" applyAlignment="1">
      <alignment horizontal="right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164" fontId="14" fillId="3" borderId="1" xfId="0" applyNumberFormat="1" applyFont="1" applyFill="1" applyBorder="1" applyAlignment="1">
      <alignment horizontal="right"/>
    </xf>
    <xf numFmtId="2" fontId="14" fillId="3" borderId="14" xfId="0" applyNumberFormat="1" applyFont="1" applyFill="1" applyAlignment="1">
      <alignment horizontal="center"/>
    </xf>
    <xf numFmtId="0" fontId="3" fillId="0" borderId="28" xfId="0" applyFont="1" applyBorder="1" applyAlignment="1">
      <alignment horizontal="left"/>
    </xf>
    <xf numFmtId="10" fontId="3" fillId="0" borderId="29" xfId="0" applyNumberFormat="1" applyFont="1" applyBorder="1"/>
    <xf numFmtId="0" fontId="3" fillId="0" borderId="30" xfId="0" applyFont="1" applyBorder="1" applyAlignment="1">
      <alignment horizontal="left"/>
    </xf>
    <xf numFmtId="10" fontId="3" fillId="0" borderId="31" xfId="0" applyNumberFormat="1" applyFont="1" applyBorder="1"/>
    <xf numFmtId="0" fontId="3" fillId="0" borderId="32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10" fontId="3" fillId="0" borderId="34" xfId="0" applyNumberFormat="1" applyFont="1" applyBorder="1"/>
    <xf numFmtId="164" fontId="14" fillId="3" borderId="5" xfId="0" applyNumberFormat="1" applyFont="1" applyFill="1" applyBorder="1" applyAlignment="1">
      <alignment horizontal="center"/>
    </xf>
    <xf numFmtId="1" fontId="8" fillId="3" borderId="18" xfId="0" applyNumberFormat="1" applyFont="1" applyFill="1" applyBorder="1" applyAlignment="1">
      <alignment horizontal="center"/>
    </xf>
    <xf numFmtId="164" fontId="6" fillId="7" borderId="36" xfId="0" applyNumberFormat="1" applyFont="1" applyFill="1" applyBorder="1"/>
    <xf numFmtId="164" fontId="0" fillId="0" borderId="0" xfId="0" applyNumberFormat="1" applyBorder="1"/>
    <xf numFmtId="164" fontId="6" fillId="4" borderId="37" xfId="0" applyNumberFormat="1" applyFont="1" applyFill="1" applyBorder="1"/>
    <xf numFmtId="164" fontId="14" fillId="3" borderId="38" xfId="0" applyNumberFormat="1" applyFont="1" applyFill="1" applyBorder="1"/>
    <xf numFmtId="164" fontId="3" fillId="4" borderId="39" xfId="0" applyNumberFormat="1" applyFont="1" applyFill="1" applyBorder="1"/>
    <xf numFmtId="0" fontId="17" fillId="0" borderId="0" xfId="0" applyFont="1" applyBorder="1" applyAlignment="1">
      <alignment horizontal="left"/>
    </xf>
    <xf numFmtId="0" fontId="14" fillId="3" borderId="5" xfId="0" applyFont="1" applyFill="1" applyBorder="1" applyAlignment="1">
      <alignment horizontal="right"/>
    </xf>
    <xf numFmtId="0" fontId="6" fillId="3" borderId="5" xfId="0" applyFont="1" applyFill="1" applyBorder="1"/>
    <xf numFmtId="1" fontId="14" fillId="3" borderId="37" xfId="0" applyNumberFormat="1" applyFont="1" applyFill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4" fontId="3" fillId="4" borderId="1" xfId="0" applyNumberFormat="1" applyFont="1" applyFill="1" applyBorder="1" applyAlignment="1">
      <alignment horizontal="right"/>
    </xf>
    <xf numFmtId="4" fontId="6" fillId="0" borderId="1" xfId="0" applyNumberFormat="1" applyFont="1" applyBorder="1" applyAlignment="1">
      <alignment horizontal="right"/>
    </xf>
    <xf numFmtId="3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3" fillId="4" borderId="5" xfId="0" applyFont="1" applyFill="1" applyBorder="1" applyAlignment="1">
      <alignment horizontal="center"/>
    </xf>
    <xf numFmtId="0" fontId="0" fillId="8" borderId="4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0" borderId="41" xfId="0" applyBorder="1" applyAlignment="1">
      <alignment vertical="center" wrapText="1"/>
    </xf>
    <xf numFmtId="0" fontId="6" fillId="0" borderId="42" xfId="0" applyFont="1" applyBorder="1" applyAlignment="1">
      <alignment horizontal="center"/>
    </xf>
    <xf numFmtId="3" fontId="6" fillId="0" borderId="42" xfId="0" applyNumberFormat="1" applyFont="1" applyBorder="1" applyAlignment="1">
      <alignment horizontal="center"/>
    </xf>
    <xf numFmtId="0" fontId="0" fillId="0" borderId="22" xfId="0" applyBorder="1" applyAlignment="1">
      <alignment horizontal="center" vertical="center" wrapText="1"/>
    </xf>
    <xf numFmtId="0" fontId="6" fillId="0" borderId="41" xfId="0" applyFont="1" applyBorder="1" applyAlignment="1">
      <alignment horizontal="center"/>
    </xf>
    <xf numFmtId="0" fontId="3" fillId="4" borderId="4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center"/>
    </xf>
    <xf numFmtId="3" fontId="3" fillId="4" borderId="4" xfId="0" applyNumberFormat="1" applyFont="1" applyFill="1" applyBorder="1" applyAlignment="1">
      <alignment horizontal="center"/>
    </xf>
    <xf numFmtId="3" fontId="3" fillId="4" borderId="8" xfId="0" applyNumberFormat="1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3" fontId="3" fillId="4" borderId="7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center"/>
    </xf>
    <xf numFmtId="1" fontId="3" fillId="2" borderId="1" xfId="0" quotePrefix="1" applyNumberFormat="1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quotePrefix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0" fontId="3" fillId="0" borderId="0" xfId="0" quotePrefix="1" applyFont="1" applyBorder="1" applyAlignment="1">
      <alignment horizontal="left"/>
    </xf>
    <xf numFmtId="3" fontId="3" fillId="0" borderId="0" xfId="0" applyNumberFormat="1" applyFont="1" applyBorder="1"/>
    <xf numFmtId="173" fontId="6" fillId="0" borderId="25" xfId="0" applyNumberFormat="1" applyFont="1" applyBorder="1" applyAlignment="1">
      <alignment horizontal="right"/>
    </xf>
    <xf numFmtId="1" fontId="3" fillId="0" borderId="25" xfId="0" applyNumberFormat="1" applyFont="1" applyBorder="1" applyAlignment="1">
      <alignment horizontal="right"/>
    </xf>
    <xf numFmtId="0" fontId="6" fillId="0" borderId="16" xfId="0" applyFont="1" applyBorder="1"/>
    <xf numFmtId="0" fontId="6" fillId="0" borderId="25" xfId="0" applyFont="1" applyBorder="1"/>
    <xf numFmtId="174" fontId="6" fillId="0" borderId="0" xfId="0" applyNumberFormat="1" applyFont="1" applyBorder="1"/>
    <xf numFmtId="0" fontId="3" fillId="0" borderId="0" xfId="0" quotePrefix="1" applyFont="1" applyBorder="1" applyAlignment="1">
      <alignment horizontal="right"/>
    </xf>
    <xf numFmtId="0" fontId="18" fillId="0" borderId="25" xfId="0" applyFont="1" applyBorder="1"/>
    <xf numFmtId="9" fontId="18" fillId="0" borderId="25" xfId="0" applyNumberFormat="1" applyFont="1" applyBorder="1"/>
    <xf numFmtId="1" fontId="14" fillId="3" borderId="20" xfId="0" applyNumberFormat="1" applyFont="1" applyFill="1" applyBorder="1" applyAlignment="1">
      <alignment horizontal="center"/>
    </xf>
    <xf numFmtId="0" fontId="3" fillId="0" borderId="6" xfId="0" applyFont="1" applyBorder="1"/>
    <xf numFmtId="0" fontId="8" fillId="3" borderId="21" xfId="0" applyFont="1" applyFill="1" applyBorder="1" applyAlignment="1">
      <alignment horizontal="right"/>
    </xf>
    <xf numFmtId="1" fontId="8" fillId="3" borderId="6" xfId="0" applyNumberFormat="1" applyFont="1" applyFill="1" applyBorder="1" applyAlignment="1">
      <alignment horizontal="center"/>
    </xf>
    <xf numFmtId="1" fontId="8" fillId="3" borderId="35" xfId="0" quotePrefix="1" applyNumberFormat="1" applyFont="1" applyFill="1" applyBorder="1" applyAlignment="1">
      <alignment horizontal="center"/>
    </xf>
    <xf numFmtId="0" fontId="8" fillId="3" borderId="17" xfId="0" applyFont="1" applyFill="1" applyBorder="1" applyAlignment="1">
      <alignment horizontal="left"/>
    </xf>
    <xf numFmtId="1" fontId="8" fillId="3" borderId="41" xfId="0" quotePrefix="1" applyNumberFormat="1" applyFont="1" applyFill="1" applyBorder="1" applyAlignment="1">
      <alignment horizontal="center"/>
    </xf>
    <xf numFmtId="1" fontId="8" fillId="3" borderId="22" xfId="0" quotePrefix="1" applyNumberFormat="1" applyFont="1" applyFill="1" applyBorder="1" applyAlignment="1">
      <alignment horizontal="center"/>
    </xf>
    <xf numFmtId="0" fontId="9" fillId="0" borderId="18" xfId="0" applyFont="1" applyBorder="1"/>
    <xf numFmtId="0" fontId="9" fillId="0" borderId="18" xfId="0" applyFont="1" applyBorder="1" applyAlignment="1">
      <alignment horizontal="left"/>
    </xf>
    <xf numFmtId="175" fontId="3" fillId="0" borderId="8" xfId="0" applyNumberFormat="1" applyFont="1" applyBorder="1"/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4" fontId="3" fillId="0" borderId="19" xfId="0" applyNumberFormat="1" applyFont="1" applyBorder="1" applyAlignment="1">
      <alignment horizontal="right"/>
    </xf>
    <xf numFmtId="4" fontId="6" fillId="0" borderId="19" xfId="0" applyNumberFormat="1" applyFont="1" applyBorder="1" applyAlignment="1">
      <alignment horizontal="right"/>
    </xf>
    <xf numFmtId="0" fontId="14" fillId="3" borderId="21" xfId="0" applyFont="1" applyFill="1" applyBorder="1" applyAlignment="1">
      <alignment horizontal="center"/>
    </xf>
    <xf numFmtId="0" fontId="6" fillId="3" borderId="20" xfId="0" applyFont="1" applyFill="1" applyBorder="1" applyAlignment="1">
      <alignment horizontal="center"/>
    </xf>
    <xf numFmtId="0" fontId="14" fillId="3" borderId="42" xfId="0" applyFont="1" applyFill="1" applyBorder="1" applyAlignment="1">
      <alignment horizontal="left"/>
    </xf>
    <xf numFmtId="49" fontId="14" fillId="3" borderId="42" xfId="0" applyNumberFormat="1" applyFont="1" applyFill="1" applyBorder="1" applyAlignment="1">
      <alignment horizontal="center"/>
    </xf>
    <xf numFmtId="0" fontId="3" fillId="4" borderId="41" xfId="0" applyFont="1" applyFill="1" applyBorder="1" applyAlignment="1">
      <alignment horizontal="left"/>
    </xf>
    <xf numFmtId="0" fontId="14" fillId="3" borderId="21" xfId="0" applyFont="1" applyFill="1" applyBorder="1" applyAlignment="1">
      <alignment horizontal="left"/>
    </xf>
    <xf numFmtId="0" fontId="14" fillId="3" borderId="20" xfId="0" applyFont="1" applyFill="1" applyBorder="1" applyAlignment="1">
      <alignment horizontal="right"/>
    </xf>
    <xf numFmtId="49" fontId="14" fillId="3" borderId="41" xfId="0" applyNumberFormat="1" applyFont="1" applyFill="1" applyBorder="1" applyAlignment="1">
      <alignment horizontal="center"/>
    </xf>
    <xf numFmtId="164" fontId="0" fillId="0" borderId="26" xfId="0" applyNumberFormat="1" applyBorder="1" applyAlignment="1">
      <alignment horizontal="right"/>
    </xf>
    <xf numFmtId="0" fontId="3" fillId="4" borderId="17" xfId="0" applyFont="1" applyFill="1" applyBorder="1" applyAlignment="1">
      <alignment horizontal="left"/>
    </xf>
    <xf numFmtId="0" fontId="14" fillId="3" borderId="21" xfId="0" applyFont="1" applyFill="1" applyBorder="1" applyAlignment="1">
      <alignment horizontal="right"/>
    </xf>
    <xf numFmtId="1" fontId="14" fillId="3" borderId="42" xfId="0" applyNumberFormat="1" applyFont="1" applyFill="1" applyBorder="1" applyAlignment="1">
      <alignment horizontal="center"/>
    </xf>
    <xf numFmtId="164" fontId="6" fillId="7" borderId="40" xfId="0" applyNumberFormat="1" applyFont="1" applyFill="1" applyBorder="1" applyAlignment="1">
      <alignment horizontal="right"/>
    </xf>
    <xf numFmtId="1" fontId="14" fillId="3" borderId="41" xfId="0" applyNumberFormat="1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right"/>
    </xf>
    <xf numFmtId="164" fontId="14" fillId="3" borderId="35" xfId="0" applyNumberFormat="1" applyFont="1" applyFill="1" applyBorder="1" applyAlignment="1">
      <alignment horizontal="center"/>
    </xf>
    <xf numFmtId="164" fontId="14" fillId="3" borderId="17" xfId="0" applyNumberFormat="1" applyFont="1" applyFill="1" applyBorder="1" applyAlignment="1">
      <alignment horizontal="left"/>
    </xf>
    <xf numFmtId="164" fontId="14" fillId="3" borderId="42" xfId="0" applyNumberFormat="1" applyFont="1" applyFill="1" applyBorder="1" applyAlignment="1">
      <alignment horizontal="center"/>
    </xf>
    <xf numFmtId="0" fontId="6" fillId="3" borderId="21" xfId="0" applyFont="1" applyFill="1" applyBorder="1"/>
    <xf numFmtId="1" fontId="14" fillId="3" borderId="35" xfId="0" applyNumberFormat="1" applyFont="1" applyFill="1" applyBorder="1" applyAlignment="1">
      <alignment horizontal="center"/>
    </xf>
    <xf numFmtId="0" fontId="14" fillId="3" borderId="42" xfId="0" applyFont="1" applyFill="1" applyBorder="1" applyAlignment="1">
      <alignment horizontal="center"/>
    </xf>
    <xf numFmtId="0" fontId="14" fillId="3" borderId="41" xfId="0" applyFont="1" applyFill="1" applyBorder="1" applyAlignment="1">
      <alignment horizontal="left"/>
    </xf>
    <xf numFmtId="0" fontId="14" fillId="3" borderId="41" xfId="0" applyFont="1" applyFill="1" applyBorder="1" applyAlignment="1">
      <alignment horizontal="center"/>
    </xf>
    <xf numFmtId="0" fontId="3" fillId="4" borderId="41" xfId="0" applyFont="1" applyFill="1" applyBorder="1" applyAlignment="1">
      <alignment horizontal="center"/>
    </xf>
    <xf numFmtId="3" fontId="3" fillId="4" borderId="42" xfId="0" applyNumberFormat="1" applyFont="1" applyFill="1" applyBorder="1" applyAlignment="1">
      <alignment horizontal="center"/>
    </xf>
    <xf numFmtId="0" fontId="13" fillId="0" borderId="0" xfId="0" quotePrefix="1" applyFont="1" applyBorder="1" applyAlignment="1">
      <alignment horizontal="left"/>
    </xf>
    <xf numFmtId="0" fontId="6" fillId="0" borderId="19" xfId="0" applyFont="1" applyBorder="1"/>
    <xf numFmtId="0" fontId="3" fillId="0" borderId="7" xfId="0" quotePrefix="1" applyFont="1" applyBorder="1" applyAlignment="1">
      <alignment horizontal="left"/>
    </xf>
    <xf numFmtId="3" fontId="3" fillId="0" borderId="7" xfId="0" applyNumberFormat="1" applyFont="1" applyBorder="1"/>
    <xf numFmtId="0" fontId="3" fillId="0" borderId="7" xfId="0" applyFont="1" applyBorder="1"/>
    <xf numFmtId="0" fontId="3" fillId="0" borderId="6" xfId="0" quotePrefix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6" xfId="0" quotePrefix="1" applyFont="1" applyBorder="1" applyAlignment="1">
      <alignment horizontal="left" wrapText="1"/>
    </xf>
    <xf numFmtId="1" fontId="8" fillId="3" borderId="4" xfId="0" applyNumberFormat="1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3" fillId="0" borderId="42" xfId="0" applyFont="1" applyBorder="1" applyAlignment="1">
      <alignment horizontal="right"/>
    </xf>
    <xf numFmtId="0" fontId="0" fillId="0" borderId="37" xfId="0" applyBorder="1"/>
    <xf numFmtId="4" fontId="14" fillId="3" borderId="21" xfId="0" applyNumberFormat="1" applyFont="1" applyFill="1" applyBorder="1" applyAlignment="1">
      <alignment horizontal="center"/>
    </xf>
    <xf numFmtId="0" fontId="0" fillId="0" borderId="20" xfId="0" applyBorder="1"/>
    <xf numFmtId="0" fontId="16" fillId="0" borderId="41" xfId="0" applyFont="1" applyBorder="1" applyAlignment="1">
      <alignment horizontal="center"/>
    </xf>
    <xf numFmtId="0" fontId="0" fillId="0" borderId="22" xfId="0" applyBorder="1"/>
    <xf numFmtId="0" fontId="16" fillId="0" borderId="5" xfId="0" applyFont="1" applyBorder="1" applyAlignment="1">
      <alignment horizontal="center"/>
    </xf>
    <xf numFmtId="0" fontId="0" fillId="0" borderId="35" xfId="0" applyBorder="1"/>
    <xf numFmtId="1" fontId="14" fillId="3" borderId="20" xfId="0" applyNumberFormat="1" applyFont="1" applyFill="1" applyBorder="1" applyAlignment="1">
      <alignment horizontal="center"/>
    </xf>
    <xf numFmtId="164" fontId="14" fillId="3" borderId="5" xfId="0" applyNumberFormat="1" applyFont="1" applyFill="1" applyBorder="1" applyAlignment="1">
      <alignment horizontal="center"/>
    </xf>
    <xf numFmtId="1" fontId="14" fillId="3" borderId="2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25" xfId="0" applyBorder="1"/>
    <xf numFmtId="0" fontId="0" fillId="0" borderId="24" xfId="0" applyBorder="1"/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workbookViewId="0"/>
  </sheetViews>
  <sheetFormatPr baseColWidth="10" defaultColWidth="14.44140625" defaultRowHeight="15" customHeight="1" x14ac:dyDescent="0.25"/>
  <cols>
    <col min="1" max="1" width="16.77734375" customWidth="1"/>
    <col min="2" max="2" width="8.6640625" customWidth="1"/>
    <col min="3" max="3" width="22.44140625" customWidth="1"/>
    <col min="4" max="23" width="11.44140625" customWidth="1"/>
  </cols>
  <sheetData>
    <row r="1" spans="1:23" ht="12.75" customHeight="1" x14ac:dyDescent="0.35">
      <c r="A1" s="1" t="s">
        <v>29</v>
      </c>
      <c r="B1" s="4" t="s">
        <v>30</v>
      </c>
      <c r="C1" s="1" t="s">
        <v>31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2.75" customHeight="1" x14ac:dyDescent="0.35">
      <c r="A2" s="3" t="s">
        <v>32</v>
      </c>
      <c r="B2" s="5">
        <v>921</v>
      </c>
      <c r="C2" s="5">
        <f t="shared" ref="C2:C11" si="0">ROUND(B2*$C$12/$B$12,0)</f>
        <v>2412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2.75" customHeight="1" x14ac:dyDescent="0.35">
      <c r="A3" s="3" t="s">
        <v>33</v>
      </c>
      <c r="B3" s="5">
        <v>693</v>
      </c>
      <c r="C3" s="5">
        <f t="shared" si="0"/>
        <v>1815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2.75" customHeight="1" x14ac:dyDescent="0.35">
      <c r="A4" s="3" t="s">
        <v>34</v>
      </c>
      <c r="B4" s="5">
        <v>366</v>
      </c>
      <c r="C4" s="5">
        <f t="shared" si="0"/>
        <v>958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2.75" customHeight="1" x14ac:dyDescent="0.35">
      <c r="A5" s="3" t="s">
        <v>35</v>
      </c>
      <c r="B5" s="5">
        <v>331</v>
      </c>
      <c r="C5" s="5">
        <f t="shared" si="0"/>
        <v>867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2.75" customHeight="1" x14ac:dyDescent="0.35">
      <c r="A6" s="3" t="s">
        <v>36</v>
      </c>
      <c r="B6" s="5">
        <v>195</v>
      </c>
      <c r="C6" s="5">
        <f t="shared" si="0"/>
        <v>511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2.75" customHeight="1" x14ac:dyDescent="0.35">
      <c r="A7" s="3" t="s">
        <v>37</v>
      </c>
      <c r="B7" s="5">
        <v>138</v>
      </c>
      <c r="C7" s="5">
        <f t="shared" si="0"/>
        <v>361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2.75" customHeight="1" x14ac:dyDescent="0.35">
      <c r="A8" s="3" t="s">
        <v>38</v>
      </c>
      <c r="B8" s="5">
        <v>68</v>
      </c>
      <c r="C8" s="5">
        <f t="shared" si="0"/>
        <v>178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2.75" customHeight="1" x14ac:dyDescent="0.35">
      <c r="A9" s="3" t="s">
        <v>39</v>
      </c>
      <c r="B9" s="5">
        <v>18</v>
      </c>
      <c r="C9" s="5">
        <f t="shared" si="0"/>
        <v>47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2.75" customHeight="1" x14ac:dyDescent="0.35">
      <c r="A10" s="3" t="s">
        <v>40</v>
      </c>
      <c r="B10" s="5">
        <v>14</v>
      </c>
      <c r="C10" s="5">
        <f t="shared" si="0"/>
        <v>37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2.75" customHeight="1" x14ac:dyDescent="0.35">
      <c r="A11" s="3" t="s">
        <v>41</v>
      </c>
      <c r="B11" s="5">
        <v>12</v>
      </c>
      <c r="C11" s="5">
        <f t="shared" si="0"/>
        <v>31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2.75" customHeight="1" x14ac:dyDescent="0.35">
      <c r="A12" s="6" t="s">
        <v>42</v>
      </c>
      <c r="B12" s="6">
        <f>SUM(B2:B11)</f>
        <v>2756</v>
      </c>
      <c r="C12" s="6">
        <f>'Sub-Total Subrubros Argentina'!C39</f>
        <v>7217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2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2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2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2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2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2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2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2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2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2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2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2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2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2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2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2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2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2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2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2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2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2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2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2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2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2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2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2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2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2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2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2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2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2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2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2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2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2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2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2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2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2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2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2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2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2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2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2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2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2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2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2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2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2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2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2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2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2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2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2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2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2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2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2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2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2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2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2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2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2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2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2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2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2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2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2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2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2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2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2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2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2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2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2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2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2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2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2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2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2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2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2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2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2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2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2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2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2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2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2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2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2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2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2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2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2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2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2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2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2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2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2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2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2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2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2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2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2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2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2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2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2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2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2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2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2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2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2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2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2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2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2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2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2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2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2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2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2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2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2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2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2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2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2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2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2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2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2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2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2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2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2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2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2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2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2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2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2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2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2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2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2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2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2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2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2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2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2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2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2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2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2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2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2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2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2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2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2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2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2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2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2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2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2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2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2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2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2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2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2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2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2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2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2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2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2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2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2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2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2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2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2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2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2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2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2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2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2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 x14ac:dyDescent="0.25"/>
    <row r="222" spans="1:23" ht="15.75" customHeight="1" x14ac:dyDescent="0.25"/>
    <row r="223" spans="1:23" ht="15.75" customHeight="1" x14ac:dyDescent="0.25"/>
    <row r="224" spans="1:2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workbookViewId="0"/>
  </sheetViews>
  <sheetFormatPr baseColWidth="10" defaultColWidth="14.44140625" defaultRowHeight="15" customHeight="1" x14ac:dyDescent="0.25"/>
  <cols>
    <col min="1" max="1" width="21.33203125" customWidth="1"/>
    <col min="2" max="2" width="16.6640625" customWidth="1"/>
    <col min="3" max="3" width="22.44140625" customWidth="1"/>
    <col min="4" max="23" width="11.44140625" customWidth="1"/>
  </cols>
  <sheetData>
    <row r="1" spans="1:23" ht="12.75" customHeight="1" x14ac:dyDescent="0.35">
      <c r="A1" s="1" t="s">
        <v>43</v>
      </c>
      <c r="B1" s="4" t="s">
        <v>44</v>
      </c>
      <c r="C1" s="1" t="s">
        <v>31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2.75" customHeight="1" x14ac:dyDescent="0.35">
      <c r="A2" s="3" t="s">
        <v>45</v>
      </c>
      <c r="B2" s="5">
        <v>473</v>
      </c>
      <c r="C2" s="5">
        <f t="shared" ref="C2:C10" si="0">ROUND(B2*$C$11/$B$11,0)</f>
        <v>1239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2.75" customHeight="1" x14ac:dyDescent="0.35">
      <c r="A3" s="3" t="s">
        <v>33</v>
      </c>
      <c r="B3" s="5">
        <v>408</v>
      </c>
      <c r="C3" s="5">
        <f t="shared" si="0"/>
        <v>1069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2.75" customHeight="1" x14ac:dyDescent="0.35">
      <c r="A4" s="3" t="s">
        <v>46</v>
      </c>
      <c r="B4" s="5">
        <v>331</v>
      </c>
      <c r="C4" s="5">
        <f t="shared" si="0"/>
        <v>867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2.75" customHeight="1" x14ac:dyDescent="0.35">
      <c r="A5" s="3" t="s">
        <v>47</v>
      </c>
      <c r="B5" s="5">
        <v>197</v>
      </c>
      <c r="C5" s="5">
        <f t="shared" si="0"/>
        <v>516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2.75" customHeight="1" x14ac:dyDescent="0.35">
      <c r="A6" s="3" t="s">
        <v>48</v>
      </c>
      <c r="B6" s="5">
        <v>195</v>
      </c>
      <c r="C6" s="5">
        <f t="shared" si="0"/>
        <v>511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2.75" customHeight="1" x14ac:dyDescent="0.35">
      <c r="A7" s="3" t="s">
        <v>49</v>
      </c>
      <c r="B7" s="5">
        <v>191</v>
      </c>
      <c r="C7" s="5">
        <f t="shared" si="0"/>
        <v>500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2.75" customHeight="1" x14ac:dyDescent="0.35">
      <c r="A8" s="3" t="s">
        <v>50</v>
      </c>
      <c r="B8" s="5">
        <v>175</v>
      </c>
      <c r="C8" s="5">
        <f t="shared" si="0"/>
        <v>458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2.75" customHeight="1" x14ac:dyDescent="0.35">
      <c r="A9" s="3" t="s">
        <v>51</v>
      </c>
      <c r="B9" s="5">
        <v>138</v>
      </c>
      <c r="C9" s="5">
        <f t="shared" si="0"/>
        <v>361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2.75" customHeight="1" x14ac:dyDescent="0.35">
      <c r="A10" s="3" t="s">
        <v>52</v>
      </c>
      <c r="B10" s="5">
        <v>131</v>
      </c>
      <c r="C10" s="5">
        <f t="shared" si="0"/>
        <v>343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2.75" customHeight="1" x14ac:dyDescent="0.35">
      <c r="A11" s="3" t="s">
        <v>53</v>
      </c>
      <c r="B11" s="5">
        <v>113</v>
      </c>
      <c r="C11" s="5">
        <v>296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2.75" customHeight="1" x14ac:dyDescent="0.35">
      <c r="A12" s="3" t="s">
        <v>54</v>
      </c>
      <c r="B12" s="5">
        <v>86</v>
      </c>
      <c r="C12" s="5">
        <f t="shared" ref="C12:C38" si="1">ROUND(B12*$C$11/$B$11,0)</f>
        <v>225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2.75" customHeight="1" x14ac:dyDescent="0.35">
      <c r="A13" s="3" t="s">
        <v>55</v>
      </c>
      <c r="B13" s="5">
        <v>68</v>
      </c>
      <c r="C13" s="5">
        <f t="shared" si="1"/>
        <v>178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2.75" customHeight="1" x14ac:dyDescent="0.35">
      <c r="A14" s="3" t="s">
        <v>56</v>
      </c>
      <c r="B14" s="5">
        <v>44</v>
      </c>
      <c r="C14" s="5">
        <f t="shared" si="1"/>
        <v>115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2.75" customHeight="1" x14ac:dyDescent="0.35">
      <c r="A15" s="3" t="s">
        <v>57</v>
      </c>
      <c r="B15" s="5">
        <v>30</v>
      </c>
      <c r="C15" s="5">
        <f t="shared" si="1"/>
        <v>79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2.75" customHeight="1" x14ac:dyDescent="0.35">
      <c r="A16" s="3" t="s">
        <v>58</v>
      </c>
      <c r="B16" s="5">
        <v>25</v>
      </c>
      <c r="C16" s="5">
        <f t="shared" si="1"/>
        <v>65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2.75" customHeight="1" x14ac:dyDescent="0.35">
      <c r="A17" s="3" t="s">
        <v>59</v>
      </c>
      <c r="B17" s="5">
        <v>18</v>
      </c>
      <c r="C17" s="5">
        <f t="shared" si="1"/>
        <v>47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2.75" customHeight="1" x14ac:dyDescent="0.35">
      <c r="A18" s="3" t="s">
        <v>60</v>
      </c>
      <c r="B18" s="5">
        <v>18</v>
      </c>
      <c r="C18" s="5">
        <f t="shared" si="1"/>
        <v>47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2.75" customHeight="1" x14ac:dyDescent="0.35">
      <c r="A19" s="3" t="s">
        <v>61</v>
      </c>
      <c r="B19" s="5">
        <v>14</v>
      </c>
      <c r="C19" s="5">
        <f t="shared" si="1"/>
        <v>37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2.75" customHeight="1" x14ac:dyDescent="0.35">
      <c r="A20" s="3" t="s">
        <v>62</v>
      </c>
      <c r="B20" s="5">
        <v>13</v>
      </c>
      <c r="C20" s="5">
        <f t="shared" si="1"/>
        <v>34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2.75" customHeight="1" x14ac:dyDescent="0.35">
      <c r="A21" s="3" t="s">
        <v>63</v>
      </c>
      <c r="B21" s="5">
        <v>12</v>
      </c>
      <c r="C21" s="5">
        <f t="shared" si="1"/>
        <v>31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2.75" customHeight="1" x14ac:dyDescent="0.35">
      <c r="A22" s="3" t="s">
        <v>64</v>
      </c>
      <c r="B22" s="5">
        <v>11</v>
      </c>
      <c r="C22" s="5">
        <f t="shared" si="1"/>
        <v>29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2.75" customHeight="1" x14ac:dyDescent="0.35">
      <c r="A23" s="3" t="s">
        <v>65</v>
      </c>
      <c r="B23" s="5">
        <v>9</v>
      </c>
      <c r="C23" s="5">
        <f t="shared" si="1"/>
        <v>24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2.75" customHeight="1" x14ac:dyDescent="0.35">
      <c r="A24" s="3" t="s">
        <v>66</v>
      </c>
      <c r="B24" s="5">
        <v>8</v>
      </c>
      <c r="C24" s="5">
        <f t="shared" si="1"/>
        <v>21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2.75" customHeight="1" x14ac:dyDescent="0.35">
      <c r="A25" s="3" t="s">
        <v>67</v>
      </c>
      <c r="B25" s="5">
        <v>7</v>
      </c>
      <c r="C25" s="5">
        <f t="shared" si="1"/>
        <v>18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2.75" customHeight="1" x14ac:dyDescent="0.35">
      <c r="A26" s="3" t="s">
        <v>68</v>
      </c>
      <c r="B26" s="5">
        <v>7</v>
      </c>
      <c r="C26" s="5">
        <f t="shared" si="1"/>
        <v>18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2.75" customHeight="1" x14ac:dyDescent="0.35">
      <c r="A27" s="3" t="s">
        <v>69</v>
      </c>
      <c r="B27" s="5">
        <v>6</v>
      </c>
      <c r="C27" s="5">
        <f t="shared" si="1"/>
        <v>16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2.75" customHeight="1" x14ac:dyDescent="0.35">
      <c r="A28" s="3" t="s">
        <v>70</v>
      </c>
      <c r="B28" s="5">
        <v>6</v>
      </c>
      <c r="C28" s="5">
        <f t="shared" si="1"/>
        <v>16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2.75" customHeight="1" x14ac:dyDescent="0.35">
      <c r="A29" s="3" t="s">
        <v>71</v>
      </c>
      <c r="B29" s="5">
        <v>4</v>
      </c>
      <c r="C29" s="5">
        <f t="shared" si="1"/>
        <v>10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2.75" customHeight="1" x14ac:dyDescent="0.35">
      <c r="A30" s="3" t="s">
        <v>72</v>
      </c>
      <c r="B30" s="5">
        <v>3</v>
      </c>
      <c r="C30" s="5">
        <f t="shared" si="1"/>
        <v>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2.75" customHeight="1" x14ac:dyDescent="0.35">
      <c r="A31" s="3" t="s">
        <v>73</v>
      </c>
      <c r="B31" s="5">
        <v>3</v>
      </c>
      <c r="C31" s="5">
        <f t="shared" si="1"/>
        <v>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2.75" customHeight="1" x14ac:dyDescent="0.35">
      <c r="A32" s="3" t="s">
        <v>74</v>
      </c>
      <c r="B32" s="5">
        <v>2</v>
      </c>
      <c r="C32" s="5">
        <f t="shared" si="1"/>
        <v>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2.75" customHeight="1" x14ac:dyDescent="0.35">
      <c r="A33" s="3" t="s">
        <v>75</v>
      </c>
      <c r="B33" s="5">
        <v>2</v>
      </c>
      <c r="C33" s="5">
        <f t="shared" si="1"/>
        <v>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2.75" customHeight="1" x14ac:dyDescent="0.35">
      <c r="A34" s="3" t="s">
        <v>76</v>
      </c>
      <c r="B34" s="5">
        <v>2</v>
      </c>
      <c r="C34" s="5">
        <f t="shared" si="1"/>
        <v>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2.75" customHeight="1" x14ac:dyDescent="0.35">
      <c r="A35" s="3" t="s">
        <v>77</v>
      </c>
      <c r="B35" s="5">
        <v>2</v>
      </c>
      <c r="C35" s="5">
        <f t="shared" si="1"/>
        <v>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2.75" customHeight="1" x14ac:dyDescent="0.35">
      <c r="A36" s="3" t="s">
        <v>78</v>
      </c>
      <c r="B36" s="5">
        <v>2</v>
      </c>
      <c r="C36" s="5">
        <f t="shared" si="1"/>
        <v>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2.75" customHeight="1" x14ac:dyDescent="0.35">
      <c r="A37" s="3" t="s">
        <v>79</v>
      </c>
      <c r="B37" s="5">
        <v>1</v>
      </c>
      <c r="C37" s="5">
        <f t="shared" si="1"/>
        <v>3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2.75" customHeight="1" x14ac:dyDescent="0.35">
      <c r="A38" s="7" t="s">
        <v>80</v>
      </c>
      <c r="B38" s="8">
        <v>1</v>
      </c>
      <c r="C38" s="5">
        <f t="shared" si="1"/>
        <v>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2.75" customHeight="1" x14ac:dyDescent="0.35">
      <c r="A39" s="6" t="s">
        <v>42</v>
      </c>
      <c r="B39" s="6">
        <f>SUM(B2:B38)</f>
        <v>2756</v>
      </c>
      <c r="C39" s="6">
        <f>SUM(C2:C38)</f>
        <v>7217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2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2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2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2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2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2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2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2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2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2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2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2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2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2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2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2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2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2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2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2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2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2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2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2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2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2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2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2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2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2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2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2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2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2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2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2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2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2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2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2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2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2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2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2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2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2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2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2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2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2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2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2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2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2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2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2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2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2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2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2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2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2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2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2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2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2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2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2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2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2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2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2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2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2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2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2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2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2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2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2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2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2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2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2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2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2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2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2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2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2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2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2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2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2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2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2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2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2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2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2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2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2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2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2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2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2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2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2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2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2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2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2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2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2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2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2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2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2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2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2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2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2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2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2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2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2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2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2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2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2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2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2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2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2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2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2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2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2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2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2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2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2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2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2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2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2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2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2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2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2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2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2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2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2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2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2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2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2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2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2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2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2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2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2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2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2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2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2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2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2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2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2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2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2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2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2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2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2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2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2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2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2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2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2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2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2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2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2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2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2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2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2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2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2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2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2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2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2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2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2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workbookViewId="0"/>
  </sheetViews>
  <sheetFormatPr baseColWidth="10" defaultColWidth="14.44140625" defaultRowHeight="15" customHeight="1" outlineLevelRow="2" x14ac:dyDescent="0.25"/>
  <cols>
    <col min="1" max="1" width="12.6640625" customWidth="1"/>
    <col min="2" max="2" width="16.77734375" customWidth="1"/>
    <col min="3" max="3" width="14.33203125" customWidth="1"/>
    <col min="4" max="4" width="22.44140625" customWidth="1"/>
    <col min="5" max="24" width="11.44140625" customWidth="1"/>
  </cols>
  <sheetData>
    <row r="1" spans="1:24" ht="12.75" customHeight="1" x14ac:dyDescent="0.35">
      <c r="A1" s="1" t="s">
        <v>81</v>
      </c>
      <c r="B1" s="1" t="s">
        <v>29</v>
      </c>
      <c r="C1" s="4" t="s">
        <v>42</v>
      </c>
      <c r="D1" s="1" t="s">
        <v>31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2.75" hidden="1" customHeight="1" outlineLevel="2" x14ac:dyDescent="0.35">
      <c r="A2" s="3" t="s">
        <v>82</v>
      </c>
      <c r="B2" s="3" t="s">
        <v>33</v>
      </c>
      <c r="C2" s="5">
        <v>146</v>
      </c>
      <c r="D2" s="5">
        <f t="shared" ref="D2:D11" si="0">ROUND(C2*$D$177/$C$177,0)</f>
        <v>382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2.75" hidden="1" customHeight="1" outlineLevel="2" x14ac:dyDescent="0.35">
      <c r="A3" s="3" t="s">
        <v>82</v>
      </c>
      <c r="B3" s="3" t="s">
        <v>38</v>
      </c>
      <c r="C3" s="5">
        <v>22</v>
      </c>
      <c r="D3" s="5">
        <f t="shared" si="0"/>
        <v>58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2.75" hidden="1" customHeight="1" outlineLevel="2" x14ac:dyDescent="0.35">
      <c r="A4" s="3" t="s">
        <v>82</v>
      </c>
      <c r="B4" s="9" t="s">
        <v>34</v>
      </c>
      <c r="C4" s="5">
        <v>101</v>
      </c>
      <c r="D4" s="5">
        <f t="shared" si="0"/>
        <v>264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2.75" hidden="1" customHeight="1" outlineLevel="2" x14ac:dyDescent="0.35">
      <c r="A5" s="3" t="s">
        <v>82</v>
      </c>
      <c r="B5" s="3" t="s">
        <v>41</v>
      </c>
      <c r="C5" s="5">
        <v>1</v>
      </c>
      <c r="D5" s="5">
        <f t="shared" si="0"/>
        <v>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2.75" hidden="1" customHeight="1" outlineLevel="2" x14ac:dyDescent="0.35">
      <c r="A6" s="3" t="s">
        <v>82</v>
      </c>
      <c r="B6" s="3" t="s">
        <v>40</v>
      </c>
      <c r="C6" s="5">
        <v>5</v>
      </c>
      <c r="D6" s="5">
        <f t="shared" si="0"/>
        <v>13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2.75" hidden="1" customHeight="1" outlineLevel="2" x14ac:dyDescent="0.35">
      <c r="A7" s="3" t="s">
        <v>82</v>
      </c>
      <c r="B7" s="3" t="s">
        <v>37</v>
      </c>
      <c r="C7" s="5">
        <v>52</v>
      </c>
      <c r="D7" s="5">
        <f t="shared" si="0"/>
        <v>136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2.75" hidden="1" customHeight="1" outlineLevel="2" x14ac:dyDescent="0.35">
      <c r="A8" s="3" t="s">
        <v>82</v>
      </c>
      <c r="B8" s="3" t="s">
        <v>39</v>
      </c>
      <c r="C8" s="5">
        <v>9</v>
      </c>
      <c r="D8" s="5">
        <f t="shared" si="0"/>
        <v>24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2.75" hidden="1" customHeight="1" outlineLevel="2" x14ac:dyDescent="0.35">
      <c r="A9" s="3" t="s">
        <v>82</v>
      </c>
      <c r="B9" s="3" t="s">
        <v>32</v>
      </c>
      <c r="C9" s="5">
        <v>278</v>
      </c>
      <c r="D9" s="5">
        <f t="shared" si="0"/>
        <v>728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2.75" hidden="1" customHeight="1" outlineLevel="2" x14ac:dyDescent="0.35">
      <c r="A10" s="3" t="s">
        <v>82</v>
      </c>
      <c r="B10" s="3" t="s">
        <v>35</v>
      </c>
      <c r="C10" s="5">
        <v>105</v>
      </c>
      <c r="D10" s="5">
        <f t="shared" si="0"/>
        <v>275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2.75" hidden="1" customHeight="1" outlineLevel="2" x14ac:dyDescent="0.35">
      <c r="A11" s="3" t="s">
        <v>82</v>
      </c>
      <c r="B11" s="3" t="s">
        <v>36</v>
      </c>
      <c r="C11" s="5">
        <v>47</v>
      </c>
      <c r="D11" s="5">
        <f t="shared" si="0"/>
        <v>123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2.75" hidden="1" customHeight="1" outlineLevel="1" x14ac:dyDescent="0.35">
      <c r="A12" s="10" t="s">
        <v>83</v>
      </c>
      <c r="B12" s="3"/>
      <c r="C12" s="5"/>
      <c r="D12" s="5">
        <f>SUBTOTAL(9,D2:D11)</f>
        <v>2006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2.75" hidden="1" customHeight="1" outlineLevel="2" x14ac:dyDescent="0.35">
      <c r="A13" s="3" t="s">
        <v>84</v>
      </c>
      <c r="B13" s="3" t="s">
        <v>33</v>
      </c>
      <c r="C13" s="5">
        <v>2</v>
      </c>
      <c r="D13" s="5">
        <f t="shared" ref="D13:D20" si="1">ROUND(C13*$D$177/$C$177,0)</f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75" hidden="1" customHeight="1" outlineLevel="2" x14ac:dyDescent="0.35">
      <c r="A14" s="3" t="s">
        <v>84</v>
      </c>
      <c r="B14" s="3" t="s">
        <v>38</v>
      </c>
      <c r="C14" s="5">
        <v>23</v>
      </c>
      <c r="D14" s="5">
        <f t="shared" si="1"/>
        <v>60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2.75" hidden="1" customHeight="1" outlineLevel="2" x14ac:dyDescent="0.35">
      <c r="A15" s="3" t="s">
        <v>84</v>
      </c>
      <c r="B15" s="3" t="s">
        <v>34</v>
      </c>
      <c r="C15" s="5">
        <v>44</v>
      </c>
      <c r="D15" s="5">
        <f t="shared" si="1"/>
        <v>115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2.75" hidden="1" customHeight="1" outlineLevel="2" x14ac:dyDescent="0.35">
      <c r="A16" s="3" t="s">
        <v>84</v>
      </c>
      <c r="B16" s="3" t="s">
        <v>37</v>
      </c>
      <c r="C16" s="5">
        <v>3</v>
      </c>
      <c r="D16" s="5">
        <f t="shared" si="1"/>
        <v>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2.75" hidden="1" customHeight="1" outlineLevel="2" x14ac:dyDescent="0.35">
      <c r="A17" s="3" t="s">
        <v>84</v>
      </c>
      <c r="B17" s="3" t="s">
        <v>39</v>
      </c>
      <c r="C17" s="5">
        <v>3</v>
      </c>
      <c r="D17" s="5">
        <f t="shared" si="1"/>
        <v>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2.75" hidden="1" customHeight="1" outlineLevel="2" x14ac:dyDescent="0.35">
      <c r="A18" s="3" t="s">
        <v>84</v>
      </c>
      <c r="B18" s="3" t="s">
        <v>32</v>
      </c>
      <c r="C18" s="5">
        <v>4</v>
      </c>
      <c r="D18" s="5">
        <f t="shared" si="1"/>
        <v>10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2.75" hidden="1" customHeight="1" outlineLevel="2" x14ac:dyDescent="0.35">
      <c r="A19" s="3" t="s">
        <v>84</v>
      </c>
      <c r="B19" s="3" t="s">
        <v>35</v>
      </c>
      <c r="C19" s="5">
        <v>22</v>
      </c>
      <c r="D19" s="5">
        <f t="shared" si="1"/>
        <v>58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2.75" hidden="1" customHeight="1" outlineLevel="2" x14ac:dyDescent="0.35">
      <c r="A20" s="3" t="s">
        <v>84</v>
      </c>
      <c r="B20" s="3" t="s">
        <v>36</v>
      </c>
      <c r="C20" s="5">
        <v>46</v>
      </c>
      <c r="D20" s="5">
        <f t="shared" si="1"/>
        <v>120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2.75" hidden="1" customHeight="1" outlineLevel="1" x14ac:dyDescent="0.35">
      <c r="A21" s="10" t="s">
        <v>85</v>
      </c>
      <c r="B21" s="3"/>
      <c r="C21" s="5"/>
      <c r="D21" s="5">
        <f>SUBTOTAL(9,D13:D20)</f>
        <v>384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2.75" hidden="1" customHeight="1" outlineLevel="2" x14ac:dyDescent="0.35">
      <c r="A22" s="3" t="s">
        <v>86</v>
      </c>
      <c r="B22" s="3" t="s">
        <v>33</v>
      </c>
      <c r="C22" s="5">
        <v>2</v>
      </c>
      <c r="D22" s="5">
        <f>ROUND(C22*$D$177/$C$177,0)</f>
        <v>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2.75" hidden="1" customHeight="1" outlineLevel="2" x14ac:dyDescent="0.35">
      <c r="A23" s="3" t="s">
        <v>86</v>
      </c>
      <c r="B23" s="3" t="s">
        <v>34</v>
      </c>
      <c r="C23" s="5">
        <v>1</v>
      </c>
      <c r="D23" s="5">
        <f>ROUND(C23*$D$177/$C$177,0)</f>
        <v>3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2.75" hidden="1" customHeight="1" outlineLevel="2" x14ac:dyDescent="0.35">
      <c r="A24" s="3" t="s">
        <v>86</v>
      </c>
      <c r="B24" s="3" t="s">
        <v>32</v>
      </c>
      <c r="C24" s="5">
        <v>1</v>
      </c>
      <c r="D24" s="5">
        <f>ROUND(C24*$D$177/$C$177,0)</f>
        <v>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2.75" hidden="1" customHeight="1" outlineLevel="1" x14ac:dyDescent="0.35">
      <c r="A25" s="10" t="s">
        <v>87</v>
      </c>
      <c r="B25" s="3"/>
      <c r="C25" s="5"/>
      <c r="D25" s="5">
        <f>SUBTOTAL(9,D22:D24)</f>
        <v>11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2.75" hidden="1" customHeight="1" outlineLevel="2" x14ac:dyDescent="0.35">
      <c r="A26" s="3" t="s">
        <v>88</v>
      </c>
      <c r="B26" s="3" t="s">
        <v>33</v>
      </c>
      <c r="C26" s="5">
        <v>136</v>
      </c>
      <c r="D26" s="5">
        <f t="shared" ref="D26:D35" si="2">ROUND(C26*$D$177/$C$177,0)</f>
        <v>356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2.75" hidden="1" customHeight="1" outlineLevel="2" x14ac:dyDescent="0.35">
      <c r="A27" s="3" t="s">
        <v>88</v>
      </c>
      <c r="B27" s="3" t="s">
        <v>38</v>
      </c>
      <c r="C27" s="5">
        <v>6</v>
      </c>
      <c r="D27" s="5">
        <f t="shared" si="2"/>
        <v>16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2.75" hidden="1" customHeight="1" outlineLevel="2" x14ac:dyDescent="0.35">
      <c r="A28" s="3" t="s">
        <v>88</v>
      </c>
      <c r="B28" s="3" t="s">
        <v>34</v>
      </c>
      <c r="C28" s="5">
        <v>50</v>
      </c>
      <c r="D28" s="5">
        <f t="shared" si="2"/>
        <v>131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2.75" hidden="1" customHeight="1" outlineLevel="2" x14ac:dyDescent="0.35">
      <c r="A29" s="3" t="s">
        <v>88</v>
      </c>
      <c r="B29" s="3" t="s">
        <v>41</v>
      </c>
      <c r="C29" s="5">
        <v>7</v>
      </c>
      <c r="D29" s="5">
        <f t="shared" si="2"/>
        <v>18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2.75" hidden="1" customHeight="1" outlineLevel="2" x14ac:dyDescent="0.35">
      <c r="A30" s="3" t="s">
        <v>88</v>
      </c>
      <c r="B30" s="3" t="s">
        <v>40</v>
      </c>
      <c r="C30" s="5">
        <v>3</v>
      </c>
      <c r="D30" s="5">
        <f t="shared" si="2"/>
        <v>8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2.75" hidden="1" customHeight="1" outlineLevel="2" x14ac:dyDescent="0.35">
      <c r="A31" s="3" t="s">
        <v>88</v>
      </c>
      <c r="B31" s="3" t="s">
        <v>37</v>
      </c>
      <c r="C31" s="5">
        <v>19</v>
      </c>
      <c r="D31" s="5">
        <f t="shared" si="2"/>
        <v>50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2.75" hidden="1" customHeight="1" outlineLevel="2" x14ac:dyDescent="0.35">
      <c r="A32" s="3" t="s">
        <v>88</v>
      </c>
      <c r="B32" s="3" t="s">
        <v>39</v>
      </c>
      <c r="C32" s="5">
        <v>2</v>
      </c>
      <c r="D32" s="5">
        <f t="shared" si="2"/>
        <v>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2.75" hidden="1" customHeight="1" outlineLevel="2" x14ac:dyDescent="0.35">
      <c r="A33" s="3" t="s">
        <v>88</v>
      </c>
      <c r="B33" s="3" t="s">
        <v>32</v>
      </c>
      <c r="C33" s="5">
        <v>260</v>
      </c>
      <c r="D33" s="5">
        <f t="shared" si="2"/>
        <v>681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2.75" hidden="1" customHeight="1" outlineLevel="2" x14ac:dyDescent="0.35">
      <c r="A34" s="3" t="s">
        <v>88</v>
      </c>
      <c r="B34" s="3" t="s">
        <v>35</v>
      </c>
      <c r="C34" s="5">
        <v>54</v>
      </c>
      <c r="D34" s="5">
        <f t="shared" si="2"/>
        <v>141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2.75" hidden="1" customHeight="1" outlineLevel="2" x14ac:dyDescent="0.35">
      <c r="A35" s="3" t="s">
        <v>88</v>
      </c>
      <c r="B35" s="3" t="s">
        <v>36</v>
      </c>
      <c r="C35" s="5">
        <v>35</v>
      </c>
      <c r="D35" s="5">
        <f t="shared" si="2"/>
        <v>92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2.75" hidden="1" customHeight="1" outlineLevel="1" x14ac:dyDescent="0.35">
      <c r="A36" s="10" t="s">
        <v>89</v>
      </c>
      <c r="B36" s="3"/>
      <c r="C36" s="5"/>
      <c r="D36" s="5">
        <f>SUBTOTAL(9,D26:D35)</f>
        <v>1498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2.75" hidden="1" customHeight="1" outlineLevel="2" x14ac:dyDescent="0.35">
      <c r="A37" s="3" t="s">
        <v>90</v>
      </c>
      <c r="B37" s="3" t="s">
        <v>33</v>
      </c>
      <c r="C37" s="5">
        <v>11</v>
      </c>
      <c r="D37" s="5">
        <f>ROUND(C37*$D$177/$C$177,0)</f>
        <v>29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2.75" hidden="1" customHeight="1" outlineLevel="2" x14ac:dyDescent="0.35">
      <c r="A38" s="3" t="s">
        <v>90</v>
      </c>
      <c r="B38" s="3" t="s">
        <v>34</v>
      </c>
      <c r="C38" s="5">
        <v>6</v>
      </c>
      <c r="D38" s="5">
        <f>ROUND(C38*$D$177/$C$177,0)</f>
        <v>16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2.75" hidden="1" customHeight="1" outlineLevel="2" x14ac:dyDescent="0.35">
      <c r="A39" s="3" t="s">
        <v>90</v>
      </c>
      <c r="B39" s="3" t="s">
        <v>32</v>
      </c>
      <c r="C39" s="5">
        <v>3</v>
      </c>
      <c r="D39" s="5">
        <f>ROUND(C39*$D$177/$C$177,0)</f>
        <v>8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2.75" hidden="1" customHeight="1" outlineLevel="2" x14ac:dyDescent="0.35">
      <c r="A40" s="3" t="s">
        <v>90</v>
      </c>
      <c r="B40" s="3" t="s">
        <v>35</v>
      </c>
      <c r="C40" s="5">
        <v>3</v>
      </c>
      <c r="D40" s="5">
        <f>ROUND(C40*$D$177/$C$177,0)</f>
        <v>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2.75" hidden="1" customHeight="1" outlineLevel="1" x14ac:dyDescent="0.35">
      <c r="A41" s="10" t="s">
        <v>91</v>
      </c>
      <c r="B41" s="3"/>
      <c r="C41" s="5"/>
      <c r="D41" s="5">
        <f>SUBTOTAL(9,D37:D40)</f>
        <v>61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2.75" hidden="1" customHeight="1" outlineLevel="2" x14ac:dyDescent="0.35">
      <c r="A42" s="3" t="s">
        <v>92</v>
      </c>
      <c r="B42" s="3" t="s">
        <v>33</v>
      </c>
      <c r="C42" s="5">
        <v>30</v>
      </c>
      <c r="D42" s="5">
        <f t="shared" ref="D42:D47" si="3">ROUND(C42*$D$177/$C$177,0)</f>
        <v>79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2.75" hidden="1" customHeight="1" outlineLevel="2" x14ac:dyDescent="0.35">
      <c r="A43" s="3" t="s">
        <v>92</v>
      </c>
      <c r="B43" s="3" t="s">
        <v>34</v>
      </c>
      <c r="C43" s="5">
        <v>5</v>
      </c>
      <c r="D43" s="5">
        <f t="shared" si="3"/>
        <v>13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2.75" hidden="1" customHeight="1" outlineLevel="2" x14ac:dyDescent="0.35">
      <c r="A44" s="3" t="s">
        <v>92</v>
      </c>
      <c r="B44" s="3" t="s">
        <v>37</v>
      </c>
      <c r="C44" s="5">
        <v>2</v>
      </c>
      <c r="D44" s="5">
        <f t="shared" si="3"/>
        <v>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2.75" hidden="1" customHeight="1" outlineLevel="2" x14ac:dyDescent="0.35">
      <c r="A45" s="3" t="s">
        <v>92</v>
      </c>
      <c r="B45" s="3" t="s">
        <v>32</v>
      </c>
      <c r="C45" s="5">
        <v>8</v>
      </c>
      <c r="D45" s="5">
        <f t="shared" si="3"/>
        <v>21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2.75" hidden="1" customHeight="1" outlineLevel="2" x14ac:dyDescent="0.35">
      <c r="A46" s="3" t="s">
        <v>92</v>
      </c>
      <c r="B46" s="3" t="s">
        <v>35</v>
      </c>
      <c r="C46" s="5">
        <v>4</v>
      </c>
      <c r="D46" s="5">
        <f t="shared" si="3"/>
        <v>10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2.75" hidden="1" customHeight="1" outlineLevel="2" x14ac:dyDescent="0.35">
      <c r="A47" s="3" t="s">
        <v>92</v>
      </c>
      <c r="B47" s="3" t="s">
        <v>36</v>
      </c>
      <c r="C47" s="5">
        <v>2</v>
      </c>
      <c r="D47" s="5">
        <f t="shared" si="3"/>
        <v>5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2.75" hidden="1" customHeight="1" outlineLevel="1" x14ac:dyDescent="0.35">
      <c r="A48" s="10" t="s">
        <v>93</v>
      </c>
      <c r="B48" s="3"/>
      <c r="C48" s="5"/>
      <c r="D48" s="5">
        <f>SUBTOTAL(9,D42:D47)</f>
        <v>133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2.75" hidden="1" customHeight="1" outlineLevel="2" x14ac:dyDescent="0.35">
      <c r="A49" s="3" t="s">
        <v>94</v>
      </c>
      <c r="B49" s="3" t="s">
        <v>34</v>
      </c>
      <c r="C49" s="5">
        <v>11</v>
      </c>
      <c r="D49" s="5">
        <f>ROUND(C49*$D$177/$C$177,0)</f>
        <v>29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2.75" hidden="1" customHeight="1" outlineLevel="2" x14ac:dyDescent="0.35">
      <c r="A50" s="3" t="s">
        <v>94</v>
      </c>
      <c r="B50" s="3" t="s">
        <v>37</v>
      </c>
      <c r="C50" s="5">
        <v>8</v>
      </c>
      <c r="D50" s="5">
        <f>ROUND(C50*$D$177/$C$177,0)</f>
        <v>21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2.75" hidden="1" customHeight="1" outlineLevel="2" x14ac:dyDescent="0.35">
      <c r="A51" s="3" t="s">
        <v>94</v>
      </c>
      <c r="B51" s="3" t="s">
        <v>32</v>
      </c>
      <c r="C51" s="5">
        <v>24</v>
      </c>
      <c r="D51" s="5">
        <f>ROUND(C51*$D$177/$C$177,0)</f>
        <v>63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2.75" hidden="1" customHeight="1" outlineLevel="2" x14ac:dyDescent="0.35">
      <c r="A52" s="3" t="s">
        <v>94</v>
      </c>
      <c r="B52" s="3" t="s">
        <v>35</v>
      </c>
      <c r="C52" s="5">
        <v>11</v>
      </c>
      <c r="D52" s="5">
        <f>ROUND(C52*$D$177/$C$177,0)</f>
        <v>29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2.75" hidden="1" customHeight="1" outlineLevel="2" x14ac:dyDescent="0.35">
      <c r="A53" s="3" t="s">
        <v>94</v>
      </c>
      <c r="B53" s="3" t="s">
        <v>36</v>
      </c>
      <c r="C53" s="5">
        <v>5</v>
      </c>
      <c r="D53" s="5">
        <f>ROUND(C53*$D$177/$C$177,0)</f>
        <v>13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2.75" hidden="1" customHeight="1" outlineLevel="1" x14ac:dyDescent="0.35">
      <c r="A54" s="10" t="s">
        <v>95</v>
      </c>
      <c r="B54" s="3"/>
      <c r="C54" s="5"/>
      <c r="D54" s="5">
        <f>SUBTOTAL(9,D49:D53)</f>
        <v>155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2.75" hidden="1" customHeight="1" outlineLevel="2" x14ac:dyDescent="0.35">
      <c r="A55" s="3" t="s">
        <v>96</v>
      </c>
      <c r="B55" s="3" t="s">
        <v>33</v>
      </c>
      <c r="C55" s="5">
        <v>40</v>
      </c>
      <c r="D55" s="5">
        <f t="shared" ref="D55:D60" si="4">ROUND(C55*$D$177/$C$177,0)</f>
        <v>105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2.75" hidden="1" customHeight="1" outlineLevel="2" x14ac:dyDescent="0.35">
      <c r="A56" s="3" t="s">
        <v>96</v>
      </c>
      <c r="B56" s="3" t="s">
        <v>34</v>
      </c>
      <c r="C56" s="5">
        <v>17</v>
      </c>
      <c r="D56" s="5">
        <f t="shared" si="4"/>
        <v>45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2.75" hidden="1" customHeight="1" outlineLevel="2" x14ac:dyDescent="0.35">
      <c r="A57" s="3" t="s">
        <v>96</v>
      </c>
      <c r="B57" s="3" t="s">
        <v>37</v>
      </c>
      <c r="C57" s="5">
        <v>1</v>
      </c>
      <c r="D57" s="5">
        <f t="shared" si="4"/>
        <v>3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2.75" hidden="1" customHeight="1" outlineLevel="2" x14ac:dyDescent="0.35">
      <c r="A58" s="3" t="s">
        <v>96</v>
      </c>
      <c r="B58" s="3" t="s">
        <v>32</v>
      </c>
      <c r="C58" s="5">
        <v>27</v>
      </c>
      <c r="D58" s="5">
        <f t="shared" si="4"/>
        <v>71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2.75" hidden="1" customHeight="1" outlineLevel="2" x14ac:dyDescent="0.35">
      <c r="A59" s="3" t="s">
        <v>96</v>
      </c>
      <c r="B59" s="3" t="s">
        <v>35</v>
      </c>
      <c r="C59" s="5">
        <v>19</v>
      </c>
      <c r="D59" s="5">
        <f t="shared" si="4"/>
        <v>50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2.75" hidden="1" customHeight="1" outlineLevel="2" x14ac:dyDescent="0.35">
      <c r="A60" s="3" t="s">
        <v>96</v>
      </c>
      <c r="B60" s="3" t="s">
        <v>36</v>
      </c>
      <c r="C60" s="5">
        <v>3</v>
      </c>
      <c r="D60" s="5">
        <f t="shared" si="4"/>
        <v>8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2.75" hidden="1" customHeight="1" outlineLevel="1" x14ac:dyDescent="0.35">
      <c r="A61" s="10" t="s">
        <v>97</v>
      </c>
      <c r="B61" s="3"/>
      <c r="C61" s="5"/>
      <c r="D61" s="5">
        <f>SUBTOTAL(9,D55:D60)</f>
        <v>282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2.75" hidden="1" customHeight="1" outlineLevel="2" x14ac:dyDescent="0.35">
      <c r="A62" s="3" t="s">
        <v>98</v>
      </c>
      <c r="B62" s="3" t="s">
        <v>32</v>
      </c>
      <c r="C62" s="5">
        <v>7</v>
      </c>
      <c r="D62" s="5">
        <f>ROUND(C62*$D$177/$C$177,0)</f>
        <v>18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2.75" hidden="1" customHeight="1" outlineLevel="2" x14ac:dyDescent="0.35">
      <c r="A63" s="3" t="s">
        <v>98</v>
      </c>
      <c r="B63" s="3" t="s">
        <v>35</v>
      </c>
      <c r="C63" s="5">
        <v>7</v>
      </c>
      <c r="D63" s="5">
        <f>ROUND(C63*$D$177/$C$177,0)</f>
        <v>18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2.75" hidden="1" customHeight="1" outlineLevel="1" x14ac:dyDescent="0.35">
      <c r="A64" s="10" t="s">
        <v>99</v>
      </c>
      <c r="B64" s="3"/>
      <c r="C64" s="5"/>
      <c r="D64" s="5">
        <f>SUBTOTAL(9,D62:D63)</f>
        <v>36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2.75" hidden="1" customHeight="1" outlineLevel="2" x14ac:dyDescent="0.35">
      <c r="A65" s="3" t="s">
        <v>100</v>
      </c>
      <c r="B65" s="3" t="s">
        <v>33</v>
      </c>
      <c r="C65" s="5">
        <v>3</v>
      </c>
      <c r="D65" s="5">
        <f t="shared" ref="D65:D70" si="5">ROUND(C65*$D$177/$C$177,0)</f>
        <v>8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2.75" hidden="1" customHeight="1" outlineLevel="2" x14ac:dyDescent="0.35">
      <c r="A66" s="3" t="s">
        <v>100</v>
      </c>
      <c r="B66" s="3" t="s">
        <v>34</v>
      </c>
      <c r="C66" s="5">
        <v>4</v>
      </c>
      <c r="D66" s="5">
        <f t="shared" si="5"/>
        <v>10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2.75" hidden="1" customHeight="1" outlineLevel="2" x14ac:dyDescent="0.35">
      <c r="A67" s="3" t="s">
        <v>100</v>
      </c>
      <c r="B67" s="3" t="s">
        <v>41</v>
      </c>
      <c r="C67" s="5">
        <v>1</v>
      </c>
      <c r="D67" s="5">
        <f t="shared" si="5"/>
        <v>3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2.75" hidden="1" customHeight="1" outlineLevel="2" x14ac:dyDescent="0.35">
      <c r="A68" s="3" t="s">
        <v>100</v>
      </c>
      <c r="B68" s="3" t="s">
        <v>37</v>
      </c>
      <c r="C68" s="5">
        <v>5</v>
      </c>
      <c r="D68" s="5">
        <f t="shared" si="5"/>
        <v>13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2.75" hidden="1" customHeight="1" outlineLevel="2" x14ac:dyDescent="0.35">
      <c r="A69" s="3" t="s">
        <v>100</v>
      </c>
      <c r="B69" s="3" t="s">
        <v>32</v>
      </c>
      <c r="C69" s="5">
        <v>15</v>
      </c>
      <c r="D69" s="5">
        <f t="shared" si="5"/>
        <v>39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2.75" hidden="1" customHeight="1" outlineLevel="2" x14ac:dyDescent="0.35">
      <c r="A70" s="3" t="s">
        <v>100</v>
      </c>
      <c r="B70" s="3" t="s">
        <v>35</v>
      </c>
      <c r="C70" s="5">
        <v>10</v>
      </c>
      <c r="D70" s="5">
        <f t="shared" si="5"/>
        <v>26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2.75" hidden="1" customHeight="1" outlineLevel="1" x14ac:dyDescent="0.35">
      <c r="A71" s="10" t="s">
        <v>101</v>
      </c>
      <c r="B71" s="3"/>
      <c r="C71" s="5"/>
      <c r="D71" s="5">
        <f>SUBTOTAL(9,D65:D70)</f>
        <v>99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2.75" hidden="1" customHeight="1" outlineLevel="2" x14ac:dyDescent="0.35">
      <c r="A72" s="3" t="s">
        <v>102</v>
      </c>
      <c r="B72" s="3" t="s">
        <v>33</v>
      </c>
      <c r="C72" s="5">
        <v>7</v>
      </c>
      <c r="D72" s="5">
        <f t="shared" ref="D72:D77" si="6">ROUND(C72*$D$177/$C$177,0)</f>
        <v>18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2.75" hidden="1" customHeight="1" outlineLevel="2" x14ac:dyDescent="0.35">
      <c r="A73" s="3" t="s">
        <v>102</v>
      </c>
      <c r="B73" s="3" t="s">
        <v>34</v>
      </c>
      <c r="C73" s="5">
        <v>1</v>
      </c>
      <c r="D73" s="5">
        <f t="shared" si="6"/>
        <v>3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2.75" hidden="1" customHeight="1" outlineLevel="2" x14ac:dyDescent="0.35">
      <c r="A74" s="3" t="s">
        <v>102</v>
      </c>
      <c r="B74" s="3" t="s">
        <v>37</v>
      </c>
      <c r="C74" s="5">
        <v>1</v>
      </c>
      <c r="D74" s="5">
        <f t="shared" si="6"/>
        <v>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2.75" hidden="1" customHeight="1" outlineLevel="2" x14ac:dyDescent="0.35">
      <c r="A75" s="3" t="s">
        <v>102</v>
      </c>
      <c r="B75" s="3" t="s">
        <v>32</v>
      </c>
      <c r="C75" s="5">
        <v>12</v>
      </c>
      <c r="D75" s="5">
        <f t="shared" si="6"/>
        <v>31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2.75" hidden="1" customHeight="1" outlineLevel="2" x14ac:dyDescent="0.35">
      <c r="A76" s="3" t="s">
        <v>102</v>
      </c>
      <c r="B76" s="3" t="s">
        <v>35</v>
      </c>
      <c r="C76" s="5">
        <v>1</v>
      </c>
      <c r="D76" s="5">
        <f t="shared" si="6"/>
        <v>3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2.75" hidden="1" customHeight="1" outlineLevel="2" x14ac:dyDescent="0.35">
      <c r="A77" s="3" t="s">
        <v>102</v>
      </c>
      <c r="B77" s="3" t="s">
        <v>36</v>
      </c>
      <c r="C77" s="5">
        <v>1</v>
      </c>
      <c r="D77" s="5">
        <f t="shared" si="6"/>
        <v>3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2.75" hidden="1" customHeight="1" outlineLevel="1" x14ac:dyDescent="0.35">
      <c r="A78" s="10" t="s">
        <v>103</v>
      </c>
      <c r="B78" s="3"/>
      <c r="C78" s="5"/>
      <c r="D78" s="5">
        <f>SUBTOTAL(9,D72:D77)</f>
        <v>61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2.75" hidden="1" customHeight="1" outlineLevel="2" x14ac:dyDescent="0.35">
      <c r="A79" s="3" t="s">
        <v>104</v>
      </c>
      <c r="B79" s="3" t="s">
        <v>33</v>
      </c>
      <c r="C79" s="5">
        <v>2</v>
      </c>
      <c r="D79" s="5">
        <f t="shared" ref="D79:D84" si="7">ROUND(C79*$D$177/$C$177,0)</f>
        <v>5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2.75" hidden="1" customHeight="1" outlineLevel="2" x14ac:dyDescent="0.35">
      <c r="A80" s="3" t="s">
        <v>104</v>
      </c>
      <c r="B80" s="3" t="s">
        <v>38</v>
      </c>
      <c r="C80" s="5">
        <v>1</v>
      </c>
      <c r="D80" s="5">
        <f t="shared" si="7"/>
        <v>3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2.75" hidden="1" customHeight="1" outlineLevel="2" x14ac:dyDescent="0.35">
      <c r="A81" s="3" t="s">
        <v>104</v>
      </c>
      <c r="B81" s="3" t="s">
        <v>34</v>
      </c>
      <c r="C81" s="5">
        <v>7</v>
      </c>
      <c r="D81" s="5">
        <f t="shared" si="7"/>
        <v>18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2.75" hidden="1" customHeight="1" outlineLevel="2" x14ac:dyDescent="0.35">
      <c r="A82" s="3" t="s">
        <v>104</v>
      </c>
      <c r="B82" s="3" t="s">
        <v>32</v>
      </c>
      <c r="C82" s="5">
        <v>1</v>
      </c>
      <c r="D82" s="5">
        <f t="shared" si="7"/>
        <v>3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2.75" hidden="1" customHeight="1" outlineLevel="2" x14ac:dyDescent="0.35">
      <c r="A83" s="3" t="s">
        <v>104</v>
      </c>
      <c r="B83" s="3" t="s">
        <v>35</v>
      </c>
      <c r="C83" s="5">
        <v>9</v>
      </c>
      <c r="D83" s="5">
        <f t="shared" si="7"/>
        <v>24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2.75" hidden="1" customHeight="1" outlineLevel="2" x14ac:dyDescent="0.35">
      <c r="A84" s="3" t="s">
        <v>104</v>
      </c>
      <c r="B84" s="3" t="s">
        <v>36</v>
      </c>
      <c r="C84" s="5">
        <v>4</v>
      </c>
      <c r="D84" s="5">
        <f t="shared" si="7"/>
        <v>10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2.75" hidden="1" customHeight="1" outlineLevel="1" x14ac:dyDescent="0.35">
      <c r="A85" s="10" t="s">
        <v>105</v>
      </c>
      <c r="B85" s="3"/>
      <c r="C85" s="5"/>
      <c r="D85" s="5">
        <f>SUBTOTAL(9,D79:D84)</f>
        <v>63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2.75" hidden="1" customHeight="1" outlineLevel="2" x14ac:dyDescent="0.35">
      <c r="A86" s="3" t="s">
        <v>106</v>
      </c>
      <c r="B86" s="3" t="s">
        <v>33</v>
      </c>
      <c r="C86" s="5">
        <v>33</v>
      </c>
      <c r="D86" s="5">
        <f t="shared" ref="D86:D92" si="8">ROUND(C86*$D$177/$C$177,0)</f>
        <v>86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2.75" hidden="1" customHeight="1" outlineLevel="2" x14ac:dyDescent="0.35">
      <c r="A87" s="3" t="s">
        <v>106</v>
      </c>
      <c r="B87" s="3" t="s">
        <v>34</v>
      </c>
      <c r="C87" s="5">
        <v>17</v>
      </c>
      <c r="D87" s="5">
        <f t="shared" si="8"/>
        <v>45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2.75" hidden="1" customHeight="1" outlineLevel="2" x14ac:dyDescent="0.35">
      <c r="A88" s="3" t="s">
        <v>106</v>
      </c>
      <c r="B88" s="3" t="s">
        <v>40</v>
      </c>
      <c r="C88" s="5">
        <v>1</v>
      </c>
      <c r="D88" s="5">
        <f t="shared" si="8"/>
        <v>3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2.75" hidden="1" customHeight="1" outlineLevel="2" x14ac:dyDescent="0.35">
      <c r="A89" s="3" t="s">
        <v>106</v>
      </c>
      <c r="B89" s="3" t="s">
        <v>37</v>
      </c>
      <c r="C89" s="5">
        <v>6</v>
      </c>
      <c r="D89" s="5">
        <f t="shared" si="8"/>
        <v>16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2.75" hidden="1" customHeight="1" outlineLevel="2" x14ac:dyDescent="0.35">
      <c r="A90" s="3" t="s">
        <v>106</v>
      </c>
      <c r="B90" s="3" t="s">
        <v>32</v>
      </c>
      <c r="C90" s="5">
        <v>13</v>
      </c>
      <c r="D90" s="5">
        <f t="shared" si="8"/>
        <v>34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2.75" hidden="1" customHeight="1" outlineLevel="2" x14ac:dyDescent="0.35">
      <c r="A91" s="3" t="s">
        <v>106</v>
      </c>
      <c r="B91" s="3" t="s">
        <v>35</v>
      </c>
      <c r="C91" s="5">
        <v>8</v>
      </c>
      <c r="D91" s="5">
        <f t="shared" si="8"/>
        <v>21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2.75" hidden="1" customHeight="1" outlineLevel="2" x14ac:dyDescent="0.35">
      <c r="A92" s="3" t="s">
        <v>106</v>
      </c>
      <c r="B92" s="3" t="s">
        <v>36</v>
      </c>
      <c r="C92" s="5">
        <v>19</v>
      </c>
      <c r="D92" s="5">
        <f t="shared" si="8"/>
        <v>50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2.75" hidden="1" customHeight="1" outlineLevel="1" x14ac:dyDescent="0.35">
      <c r="A93" s="10" t="s">
        <v>107</v>
      </c>
      <c r="B93" s="3"/>
      <c r="C93" s="5"/>
      <c r="D93" s="5">
        <f>SUBTOTAL(9,D86:D92)</f>
        <v>255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2.75" hidden="1" customHeight="1" outlineLevel="2" x14ac:dyDescent="0.35">
      <c r="A94" s="3" t="s">
        <v>108</v>
      </c>
      <c r="B94" s="3" t="s">
        <v>33</v>
      </c>
      <c r="C94" s="5">
        <v>26</v>
      </c>
      <c r="D94" s="5">
        <f t="shared" ref="D94:D99" si="9">ROUND(C94*$D$177/$C$177,0)</f>
        <v>68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2.75" hidden="1" customHeight="1" outlineLevel="2" x14ac:dyDescent="0.35">
      <c r="A95" s="3" t="s">
        <v>108</v>
      </c>
      <c r="B95" s="3" t="s">
        <v>40</v>
      </c>
      <c r="C95" s="5">
        <v>1</v>
      </c>
      <c r="D95" s="5">
        <f t="shared" si="9"/>
        <v>3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2.75" hidden="1" customHeight="1" outlineLevel="2" x14ac:dyDescent="0.35">
      <c r="A96" s="3" t="s">
        <v>108</v>
      </c>
      <c r="B96" s="3" t="s">
        <v>37</v>
      </c>
      <c r="C96" s="5">
        <v>1</v>
      </c>
      <c r="D96" s="5">
        <f t="shared" si="9"/>
        <v>3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2.75" hidden="1" customHeight="1" outlineLevel="2" x14ac:dyDescent="0.35">
      <c r="A97" s="3" t="s">
        <v>108</v>
      </c>
      <c r="B97" s="3" t="s">
        <v>32</v>
      </c>
      <c r="C97" s="5">
        <v>30</v>
      </c>
      <c r="D97" s="5">
        <f t="shared" si="9"/>
        <v>79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2.75" hidden="1" customHeight="1" outlineLevel="2" x14ac:dyDescent="0.35">
      <c r="A98" s="3" t="s">
        <v>108</v>
      </c>
      <c r="B98" s="3" t="s">
        <v>35</v>
      </c>
      <c r="C98" s="5">
        <v>4</v>
      </c>
      <c r="D98" s="5">
        <f t="shared" si="9"/>
        <v>10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2.75" hidden="1" customHeight="1" outlineLevel="2" x14ac:dyDescent="0.35">
      <c r="A99" s="3" t="s">
        <v>108</v>
      </c>
      <c r="B99" s="3" t="s">
        <v>36</v>
      </c>
      <c r="C99" s="5">
        <v>1</v>
      </c>
      <c r="D99" s="5">
        <f t="shared" si="9"/>
        <v>3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2.75" hidden="1" customHeight="1" outlineLevel="1" x14ac:dyDescent="0.35">
      <c r="A100" s="10" t="s">
        <v>109</v>
      </c>
      <c r="B100" s="3"/>
      <c r="C100" s="5"/>
      <c r="D100" s="5">
        <f>SUBTOTAL(9,D94:D99)</f>
        <v>166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2.75" hidden="1" customHeight="1" outlineLevel="2" x14ac:dyDescent="0.35">
      <c r="A101" s="3" t="s">
        <v>110</v>
      </c>
      <c r="B101" s="3" t="s">
        <v>33</v>
      </c>
      <c r="C101" s="5">
        <v>1</v>
      </c>
      <c r="D101" s="5">
        <f t="shared" ref="D101:D107" si="10">ROUND(C101*$D$177/$C$177,0)</f>
        <v>3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2.75" hidden="1" customHeight="1" outlineLevel="2" x14ac:dyDescent="0.35">
      <c r="A102" s="3" t="s">
        <v>110</v>
      </c>
      <c r="B102" s="3" t="s">
        <v>38</v>
      </c>
      <c r="C102" s="5">
        <v>1</v>
      </c>
      <c r="D102" s="5">
        <f t="shared" si="10"/>
        <v>3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2.75" hidden="1" customHeight="1" outlineLevel="2" x14ac:dyDescent="0.35">
      <c r="A103" s="3" t="s">
        <v>110</v>
      </c>
      <c r="B103" s="3" t="s">
        <v>34</v>
      </c>
      <c r="C103" s="5">
        <v>4</v>
      </c>
      <c r="D103" s="5">
        <f t="shared" si="10"/>
        <v>10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2.75" hidden="1" customHeight="1" outlineLevel="2" x14ac:dyDescent="0.35">
      <c r="A104" s="3" t="s">
        <v>110</v>
      </c>
      <c r="B104" s="3" t="s">
        <v>37</v>
      </c>
      <c r="C104" s="5">
        <v>2</v>
      </c>
      <c r="D104" s="5">
        <f t="shared" si="10"/>
        <v>5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2.75" hidden="1" customHeight="1" outlineLevel="2" x14ac:dyDescent="0.35">
      <c r="A105" s="3" t="s">
        <v>110</v>
      </c>
      <c r="B105" s="3" t="s">
        <v>32</v>
      </c>
      <c r="C105" s="5">
        <v>7</v>
      </c>
      <c r="D105" s="5">
        <f t="shared" si="10"/>
        <v>18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2.75" hidden="1" customHeight="1" outlineLevel="2" x14ac:dyDescent="0.35">
      <c r="A106" s="3" t="s">
        <v>110</v>
      </c>
      <c r="B106" s="3" t="s">
        <v>35</v>
      </c>
      <c r="C106" s="5">
        <v>1</v>
      </c>
      <c r="D106" s="5">
        <f t="shared" si="10"/>
        <v>3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2.75" hidden="1" customHeight="1" outlineLevel="2" x14ac:dyDescent="0.35">
      <c r="A107" s="3" t="s">
        <v>110</v>
      </c>
      <c r="B107" s="3" t="s">
        <v>36</v>
      </c>
      <c r="C107" s="5">
        <v>5</v>
      </c>
      <c r="D107" s="5">
        <f t="shared" si="10"/>
        <v>13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2.75" hidden="1" customHeight="1" outlineLevel="1" x14ac:dyDescent="0.35">
      <c r="A108" s="10" t="s">
        <v>111</v>
      </c>
      <c r="B108" s="3"/>
      <c r="C108" s="5"/>
      <c r="D108" s="5">
        <f>SUBTOTAL(9,D101:D107)</f>
        <v>55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2.75" hidden="1" customHeight="1" outlineLevel="2" x14ac:dyDescent="0.35">
      <c r="A109" s="3" t="s">
        <v>112</v>
      </c>
      <c r="B109" s="3" t="s">
        <v>33</v>
      </c>
      <c r="C109" s="5">
        <v>13</v>
      </c>
      <c r="D109" s="5">
        <f t="shared" ref="D109:D114" si="11">ROUND(C109*$D$177/$C$177,0)</f>
        <v>34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2.75" hidden="1" customHeight="1" outlineLevel="2" x14ac:dyDescent="0.35">
      <c r="A110" s="3" t="s">
        <v>112</v>
      </c>
      <c r="B110" s="3" t="s">
        <v>34</v>
      </c>
      <c r="C110" s="5">
        <v>16</v>
      </c>
      <c r="D110" s="5">
        <f t="shared" si="11"/>
        <v>42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2.75" hidden="1" customHeight="1" outlineLevel="2" x14ac:dyDescent="0.35">
      <c r="A111" s="3" t="s">
        <v>112</v>
      </c>
      <c r="B111" s="3" t="s">
        <v>37</v>
      </c>
      <c r="C111" s="5">
        <v>2</v>
      </c>
      <c r="D111" s="5">
        <f t="shared" si="11"/>
        <v>5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2.75" hidden="1" customHeight="1" outlineLevel="2" x14ac:dyDescent="0.35">
      <c r="A112" s="3" t="s">
        <v>112</v>
      </c>
      <c r="B112" s="3" t="s">
        <v>32</v>
      </c>
      <c r="C112" s="5">
        <v>7</v>
      </c>
      <c r="D112" s="5">
        <f t="shared" si="11"/>
        <v>18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2.75" hidden="1" customHeight="1" outlineLevel="2" x14ac:dyDescent="0.35">
      <c r="A113" s="3" t="s">
        <v>112</v>
      </c>
      <c r="B113" s="3" t="s">
        <v>35</v>
      </c>
      <c r="C113" s="5">
        <v>7</v>
      </c>
      <c r="D113" s="5">
        <f t="shared" si="11"/>
        <v>18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2.75" hidden="1" customHeight="1" outlineLevel="2" x14ac:dyDescent="0.35">
      <c r="A114" s="3" t="s">
        <v>112</v>
      </c>
      <c r="B114" s="3" t="s">
        <v>36</v>
      </c>
      <c r="C114" s="5">
        <v>5</v>
      </c>
      <c r="D114" s="5">
        <f t="shared" si="11"/>
        <v>13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2.75" hidden="1" customHeight="1" outlineLevel="1" x14ac:dyDescent="0.35">
      <c r="A115" s="10" t="s">
        <v>113</v>
      </c>
      <c r="B115" s="3"/>
      <c r="C115" s="5"/>
      <c r="D115" s="5">
        <f>SUBTOTAL(9,D109:D114)</f>
        <v>130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2.75" hidden="1" customHeight="1" outlineLevel="2" x14ac:dyDescent="0.35">
      <c r="A116" s="3" t="s">
        <v>114</v>
      </c>
      <c r="B116" s="3" t="s">
        <v>33</v>
      </c>
      <c r="C116" s="5">
        <v>2</v>
      </c>
      <c r="D116" s="5">
        <f t="shared" ref="D116:D123" si="12">ROUND(C116*$D$177/$C$177,0)</f>
        <v>5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2.75" hidden="1" customHeight="1" outlineLevel="2" x14ac:dyDescent="0.35">
      <c r="A117" s="3" t="s">
        <v>114</v>
      </c>
      <c r="B117" s="3" t="s">
        <v>38</v>
      </c>
      <c r="C117" s="5">
        <v>1</v>
      </c>
      <c r="D117" s="5">
        <f t="shared" si="12"/>
        <v>3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2.75" hidden="1" customHeight="1" outlineLevel="2" x14ac:dyDescent="0.35">
      <c r="A118" s="3" t="s">
        <v>114</v>
      </c>
      <c r="B118" s="3" t="s">
        <v>34</v>
      </c>
      <c r="C118" s="5">
        <v>2</v>
      </c>
      <c r="D118" s="5">
        <f t="shared" si="12"/>
        <v>5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2.75" hidden="1" customHeight="1" outlineLevel="2" x14ac:dyDescent="0.35">
      <c r="A119" s="3" t="s">
        <v>114</v>
      </c>
      <c r="B119" s="3" t="s">
        <v>41</v>
      </c>
      <c r="C119" s="5">
        <v>1</v>
      </c>
      <c r="D119" s="5">
        <f t="shared" si="12"/>
        <v>3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2.75" hidden="1" customHeight="1" outlineLevel="2" x14ac:dyDescent="0.35">
      <c r="A120" s="3" t="s">
        <v>114</v>
      </c>
      <c r="B120" s="3" t="s">
        <v>37</v>
      </c>
      <c r="C120" s="5">
        <v>1</v>
      </c>
      <c r="D120" s="5">
        <f t="shared" si="12"/>
        <v>3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2.75" hidden="1" customHeight="1" outlineLevel="2" x14ac:dyDescent="0.35">
      <c r="A121" s="3" t="s">
        <v>114</v>
      </c>
      <c r="B121" s="3" t="s">
        <v>32</v>
      </c>
      <c r="C121" s="5">
        <v>1</v>
      </c>
      <c r="D121" s="5">
        <f t="shared" si="12"/>
        <v>3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2.75" hidden="1" customHeight="1" outlineLevel="2" x14ac:dyDescent="0.35">
      <c r="A122" s="3" t="s">
        <v>114</v>
      </c>
      <c r="B122" s="3" t="s">
        <v>35</v>
      </c>
      <c r="C122" s="5">
        <v>12</v>
      </c>
      <c r="D122" s="5">
        <f t="shared" si="12"/>
        <v>31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2.75" hidden="1" customHeight="1" outlineLevel="2" x14ac:dyDescent="0.35">
      <c r="A123" s="3" t="s">
        <v>114</v>
      </c>
      <c r="B123" s="3" t="s">
        <v>36</v>
      </c>
      <c r="C123" s="5">
        <v>1</v>
      </c>
      <c r="D123" s="5">
        <f t="shared" si="12"/>
        <v>3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2.75" hidden="1" customHeight="1" outlineLevel="1" x14ac:dyDescent="0.35">
      <c r="A124" s="10" t="s">
        <v>115</v>
      </c>
      <c r="B124" s="3"/>
      <c r="C124" s="5"/>
      <c r="D124" s="5">
        <f>SUBTOTAL(9,D116:D123)</f>
        <v>56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2.75" hidden="1" customHeight="1" outlineLevel="2" x14ac:dyDescent="0.35">
      <c r="A125" s="3" t="s">
        <v>116</v>
      </c>
      <c r="B125" s="3" t="s">
        <v>33</v>
      </c>
      <c r="C125" s="5">
        <v>6</v>
      </c>
      <c r="D125" s="5">
        <f t="shared" ref="D125:D130" si="13">ROUND(C125*$D$177/$C$177,0)</f>
        <v>16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2.75" hidden="1" customHeight="1" outlineLevel="2" x14ac:dyDescent="0.35">
      <c r="A126" s="3" t="s">
        <v>116</v>
      </c>
      <c r="B126" s="3" t="s">
        <v>38</v>
      </c>
      <c r="C126" s="5">
        <v>1</v>
      </c>
      <c r="D126" s="5">
        <f t="shared" si="13"/>
        <v>3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2.75" hidden="1" customHeight="1" outlineLevel="2" x14ac:dyDescent="0.35">
      <c r="A127" s="3" t="s">
        <v>116</v>
      </c>
      <c r="B127" s="3" t="s">
        <v>34</v>
      </c>
      <c r="C127" s="5">
        <v>3</v>
      </c>
      <c r="D127" s="5">
        <f t="shared" si="13"/>
        <v>8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2.75" hidden="1" customHeight="1" outlineLevel="2" x14ac:dyDescent="0.35">
      <c r="A128" s="3" t="s">
        <v>116</v>
      </c>
      <c r="B128" s="3" t="s">
        <v>37</v>
      </c>
      <c r="C128" s="5">
        <v>1</v>
      </c>
      <c r="D128" s="5">
        <f t="shared" si="13"/>
        <v>3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2.75" hidden="1" customHeight="1" outlineLevel="2" x14ac:dyDescent="0.35">
      <c r="A129" s="3" t="s">
        <v>116</v>
      </c>
      <c r="B129" s="3" t="s">
        <v>32</v>
      </c>
      <c r="C129" s="5">
        <v>7</v>
      </c>
      <c r="D129" s="5">
        <f t="shared" si="13"/>
        <v>18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2.75" hidden="1" customHeight="1" outlineLevel="2" x14ac:dyDescent="0.35">
      <c r="A130" s="3" t="s">
        <v>116</v>
      </c>
      <c r="B130" s="3" t="s">
        <v>36</v>
      </c>
      <c r="C130" s="5">
        <v>3</v>
      </c>
      <c r="D130" s="5">
        <f t="shared" si="13"/>
        <v>8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2.75" hidden="1" customHeight="1" outlineLevel="1" x14ac:dyDescent="0.35">
      <c r="A131" s="10" t="s">
        <v>117</v>
      </c>
      <c r="B131" s="3"/>
      <c r="C131" s="5"/>
      <c r="D131" s="5">
        <f>SUBTOTAL(9,D125:D130)</f>
        <v>56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2.75" hidden="1" customHeight="1" outlineLevel="2" x14ac:dyDescent="0.35">
      <c r="A132" s="3" t="s">
        <v>118</v>
      </c>
      <c r="B132" s="3" t="s">
        <v>33</v>
      </c>
      <c r="C132" s="5">
        <v>2</v>
      </c>
      <c r="D132" s="5">
        <f>ROUND(C132*$D$177/$C$177,0)</f>
        <v>5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2.75" hidden="1" customHeight="1" outlineLevel="2" x14ac:dyDescent="0.35">
      <c r="A133" s="3" t="s">
        <v>118</v>
      </c>
      <c r="B133" s="3" t="s">
        <v>38</v>
      </c>
      <c r="C133" s="5">
        <v>2</v>
      </c>
      <c r="D133" s="5">
        <f>ROUND(C133*$D$177/$C$177,0)</f>
        <v>5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2.75" hidden="1" customHeight="1" outlineLevel="2" x14ac:dyDescent="0.35">
      <c r="A134" s="3" t="s">
        <v>118</v>
      </c>
      <c r="B134" s="3" t="s">
        <v>34</v>
      </c>
      <c r="C134" s="5">
        <v>5</v>
      </c>
      <c r="D134" s="5">
        <f>ROUND(C134*$D$177/$C$177,0)</f>
        <v>13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2.75" hidden="1" customHeight="1" outlineLevel="2" x14ac:dyDescent="0.35">
      <c r="A135" s="3" t="s">
        <v>118</v>
      </c>
      <c r="B135" s="3" t="s">
        <v>32</v>
      </c>
      <c r="C135" s="5">
        <v>7</v>
      </c>
      <c r="D135" s="5">
        <f>ROUND(C135*$D$177/$C$177,0)</f>
        <v>18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2.75" hidden="1" customHeight="1" outlineLevel="2" x14ac:dyDescent="0.35">
      <c r="A136" s="3" t="s">
        <v>118</v>
      </c>
      <c r="B136" s="3" t="s">
        <v>35</v>
      </c>
      <c r="C136" s="5">
        <v>3</v>
      </c>
      <c r="D136" s="5">
        <f>ROUND(C136*$D$177/$C$177,0)</f>
        <v>8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2.75" hidden="1" customHeight="1" outlineLevel="1" x14ac:dyDescent="0.35">
      <c r="A137" s="10" t="s">
        <v>119</v>
      </c>
      <c r="B137" s="3"/>
      <c r="C137" s="5"/>
      <c r="D137" s="5">
        <f>SUBTOTAL(9,D132:D136)</f>
        <v>49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2.75" hidden="1" customHeight="1" outlineLevel="2" x14ac:dyDescent="0.35">
      <c r="A138" s="3" t="s">
        <v>120</v>
      </c>
      <c r="B138" s="3" t="s">
        <v>33</v>
      </c>
      <c r="C138" s="5">
        <v>6</v>
      </c>
      <c r="D138" s="5">
        <f t="shared" ref="D138:D143" si="14">ROUND(C138*$D$177/$C$177,0)</f>
        <v>16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2.75" hidden="1" customHeight="1" outlineLevel="2" x14ac:dyDescent="0.35">
      <c r="A139" s="3" t="s">
        <v>120</v>
      </c>
      <c r="B139" s="3" t="s">
        <v>34</v>
      </c>
      <c r="C139" s="5">
        <v>4</v>
      </c>
      <c r="D139" s="5">
        <f t="shared" si="14"/>
        <v>10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2.75" hidden="1" customHeight="1" outlineLevel="2" x14ac:dyDescent="0.35">
      <c r="A140" s="3" t="s">
        <v>120</v>
      </c>
      <c r="B140" s="3" t="s">
        <v>40</v>
      </c>
      <c r="C140" s="5">
        <v>1</v>
      </c>
      <c r="D140" s="5">
        <f t="shared" si="14"/>
        <v>3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2.75" hidden="1" customHeight="1" outlineLevel="2" x14ac:dyDescent="0.35">
      <c r="A141" s="3" t="s">
        <v>120</v>
      </c>
      <c r="B141" s="3" t="s">
        <v>37</v>
      </c>
      <c r="C141" s="5">
        <v>1</v>
      </c>
      <c r="D141" s="5">
        <f t="shared" si="14"/>
        <v>3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2.75" hidden="1" customHeight="1" outlineLevel="2" x14ac:dyDescent="0.35">
      <c r="A142" s="3" t="s">
        <v>120</v>
      </c>
      <c r="B142" s="3" t="s">
        <v>32</v>
      </c>
      <c r="C142" s="5">
        <v>7</v>
      </c>
      <c r="D142" s="5">
        <f t="shared" si="14"/>
        <v>18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2.75" hidden="1" customHeight="1" outlineLevel="2" x14ac:dyDescent="0.35">
      <c r="A143" s="3" t="s">
        <v>120</v>
      </c>
      <c r="B143" s="3" t="s">
        <v>35</v>
      </c>
      <c r="C143" s="5">
        <v>6</v>
      </c>
      <c r="D143" s="5">
        <f t="shared" si="14"/>
        <v>16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2.75" hidden="1" customHeight="1" outlineLevel="1" x14ac:dyDescent="0.35">
      <c r="A144" s="10" t="s">
        <v>121</v>
      </c>
      <c r="B144" s="3"/>
      <c r="C144" s="5"/>
      <c r="D144" s="5">
        <f>SUBTOTAL(9,D138:D143)</f>
        <v>66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2.75" hidden="1" customHeight="1" outlineLevel="2" x14ac:dyDescent="0.35">
      <c r="A145" s="3" t="s">
        <v>122</v>
      </c>
      <c r="B145" s="3" t="s">
        <v>33</v>
      </c>
      <c r="C145" s="5">
        <v>208</v>
      </c>
      <c r="D145" s="5">
        <f t="shared" ref="D145:D153" si="15">ROUND(C145*$D$177/$C$177,0)</f>
        <v>545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2.75" hidden="1" customHeight="1" outlineLevel="2" x14ac:dyDescent="0.35">
      <c r="A146" s="3" t="s">
        <v>122</v>
      </c>
      <c r="B146" s="3" t="s">
        <v>38</v>
      </c>
      <c r="C146" s="5">
        <v>5</v>
      </c>
      <c r="D146" s="5">
        <f t="shared" si="15"/>
        <v>13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2.75" hidden="1" customHeight="1" outlineLevel="2" x14ac:dyDescent="0.35">
      <c r="A147" s="3" t="s">
        <v>122</v>
      </c>
      <c r="B147" s="3" t="s">
        <v>34</v>
      </c>
      <c r="C147" s="5">
        <v>41</v>
      </c>
      <c r="D147" s="5">
        <f t="shared" si="15"/>
        <v>107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2.75" hidden="1" customHeight="1" outlineLevel="2" x14ac:dyDescent="0.35">
      <c r="A148" s="3" t="s">
        <v>122</v>
      </c>
      <c r="B148" s="3" t="s">
        <v>40</v>
      </c>
      <c r="C148" s="5">
        <v>2</v>
      </c>
      <c r="D148" s="5">
        <f t="shared" si="15"/>
        <v>5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2.75" hidden="1" customHeight="1" outlineLevel="2" x14ac:dyDescent="0.35">
      <c r="A149" s="3" t="s">
        <v>122</v>
      </c>
      <c r="B149" s="3" t="s">
        <v>37</v>
      </c>
      <c r="C149" s="5">
        <v>29</v>
      </c>
      <c r="D149" s="5">
        <f t="shared" si="15"/>
        <v>76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2.75" hidden="1" customHeight="1" outlineLevel="2" x14ac:dyDescent="0.35">
      <c r="A150" s="3" t="s">
        <v>122</v>
      </c>
      <c r="B150" s="3" t="s">
        <v>39</v>
      </c>
      <c r="C150" s="5">
        <v>4</v>
      </c>
      <c r="D150" s="5">
        <f t="shared" si="15"/>
        <v>10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2.75" hidden="1" customHeight="1" outlineLevel="2" x14ac:dyDescent="0.35">
      <c r="A151" s="3" t="s">
        <v>122</v>
      </c>
      <c r="B151" s="3" t="s">
        <v>32</v>
      </c>
      <c r="C151" s="5">
        <v>191</v>
      </c>
      <c r="D151" s="5">
        <f t="shared" si="15"/>
        <v>500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2.75" hidden="1" customHeight="1" outlineLevel="2" x14ac:dyDescent="0.35">
      <c r="A152" s="3" t="s">
        <v>122</v>
      </c>
      <c r="B152" s="3" t="s">
        <v>35</v>
      </c>
      <c r="C152" s="5">
        <v>29</v>
      </c>
      <c r="D152" s="5">
        <f t="shared" si="15"/>
        <v>76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2.75" hidden="1" customHeight="1" outlineLevel="2" x14ac:dyDescent="0.35">
      <c r="A153" s="3" t="s">
        <v>122</v>
      </c>
      <c r="B153" s="3" t="s">
        <v>36</v>
      </c>
      <c r="C153" s="5">
        <v>16</v>
      </c>
      <c r="D153" s="5">
        <f t="shared" si="15"/>
        <v>42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2.75" hidden="1" customHeight="1" outlineLevel="1" x14ac:dyDescent="0.35">
      <c r="A154" s="10" t="s">
        <v>123</v>
      </c>
      <c r="B154" s="3"/>
      <c r="C154" s="5"/>
      <c r="D154" s="5">
        <f>SUBTOTAL(9,D145:D153)</f>
        <v>1374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2.75" hidden="1" customHeight="1" outlineLevel="2" x14ac:dyDescent="0.35">
      <c r="A155" s="3" t="s">
        <v>124</v>
      </c>
      <c r="B155" s="3" t="s">
        <v>33</v>
      </c>
      <c r="C155" s="5">
        <v>3</v>
      </c>
      <c r="D155" s="5">
        <f t="shared" ref="D155:D161" si="16">ROUND(C155*$D$177/$C$177,0)</f>
        <v>8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2.75" hidden="1" customHeight="1" outlineLevel="2" x14ac:dyDescent="0.35">
      <c r="A156" s="3" t="s">
        <v>124</v>
      </c>
      <c r="B156" s="3" t="s">
        <v>38</v>
      </c>
      <c r="C156" s="5">
        <v>2</v>
      </c>
      <c r="D156" s="5">
        <f t="shared" si="16"/>
        <v>5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2.75" hidden="1" customHeight="1" outlineLevel="2" x14ac:dyDescent="0.35">
      <c r="A157" s="3" t="s">
        <v>124</v>
      </c>
      <c r="B157" s="3" t="s">
        <v>34</v>
      </c>
      <c r="C157" s="5">
        <v>10</v>
      </c>
      <c r="D157" s="5">
        <f t="shared" si="16"/>
        <v>26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2.75" hidden="1" customHeight="1" outlineLevel="2" x14ac:dyDescent="0.35">
      <c r="A158" s="3" t="s">
        <v>124</v>
      </c>
      <c r="B158" s="3" t="s">
        <v>41</v>
      </c>
      <c r="C158" s="5">
        <v>2</v>
      </c>
      <c r="D158" s="5">
        <f t="shared" si="16"/>
        <v>5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2.75" hidden="1" customHeight="1" outlineLevel="2" x14ac:dyDescent="0.35">
      <c r="A159" s="3" t="s">
        <v>124</v>
      </c>
      <c r="B159" s="3" t="s">
        <v>32</v>
      </c>
      <c r="C159" s="5">
        <v>6</v>
      </c>
      <c r="D159" s="5">
        <f t="shared" si="16"/>
        <v>16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2.75" hidden="1" customHeight="1" outlineLevel="2" x14ac:dyDescent="0.35">
      <c r="A160" s="3" t="s">
        <v>124</v>
      </c>
      <c r="B160" s="3" t="s">
        <v>35</v>
      </c>
      <c r="C160" s="5">
        <v>3</v>
      </c>
      <c r="D160" s="5">
        <f t="shared" si="16"/>
        <v>8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2.75" hidden="1" customHeight="1" outlineLevel="2" x14ac:dyDescent="0.35">
      <c r="A161" s="3" t="s">
        <v>124</v>
      </c>
      <c r="B161" s="3" t="s">
        <v>36</v>
      </c>
      <c r="C161" s="5">
        <v>1</v>
      </c>
      <c r="D161" s="5">
        <f t="shared" si="16"/>
        <v>3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2.75" hidden="1" customHeight="1" outlineLevel="1" x14ac:dyDescent="0.35">
      <c r="A162" s="10" t="s">
        <v>125</v>
      </c>
      <c r="B162" s="3"/>
      <c r="C162" s="5"/>
      <c r="D162" s="5">
        <f>SUBTOTAL(9,D155:D161)</f>
        <v>71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2.75" hidden="1" customHeight="1" outlineLevel="2" x14ac:dyDescent="0.35">
      <c r="A163" s="3" t="s">
        <v>126</v>
      </c>
      <c r="B163" s="3" t="s">
        <v>34</v>
      </c>
      <c r="C163" s="5">
        <v>8</v>
      </c>
      <c r="D163" s="5">
        <f>ROUND(C163*$D$177/$C$177,0)</f>
        <v>21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2.75" hidden="1" customHeight="1" outlineLevel="2" x14ac:dyDescent="0.35">
      <c r="A164" s="3" t="s">
        <v>126</v>
      </c>
      <c r="B164" s="3" t="s">
        <v>32</v>
      </c>
      <c r="C164" s="5">
        <v>3</v>
      </c>
      <c r="D164" s="5">
        <f>ROUND(C164*$D$177/$C$177,0)</f>
        <v>8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2.75" hidden="1" customHeight="1" outlineLevel="2" x14ac:dyDescent="0.35">
      <c r="A165" s="3" t="s">
        <v>126</v>
      </c>
      <c r="B165" s="3" t="s">
        <v>35</v>
      </c>
      <c r="C165" s="5">
        <v>5</v>
      </c>
      <c r="D165" s="5">
        <f>ROUND(C165*$D$177/$C$177,0)</f>
        <v>13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2.75" hidden="1" customHeight="1" outlineLevel="1" x14ac:dyDescent="0.35">
      <c r="A166" s="10" t="s">
        <v>127</v>
      </c>
      <c r="B166" s="3"/>
      <c r="C166" s="5"/>
      <c r="D166" s="5">
        <f>SUBTOTAL(9,D163:D165)</f>
        <v>42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2.75" hidden="1" customHeight="1" outlineLevel="2" x14ac:dyDescent="0.35">
      <c r="A167" s="3" t="s">
        <v>128</v>
      </c>
      <c r="B167" s="3" t="s">
        <v>33</v>
      </c>
      <c r="C167" s="5">
        <v>14</v>
      </c>
      <c r="D167" s="5">
        <f t="shared" ref="D167:D174" si="17">ROUND(C167*$D$177/$C$177,0)</f>
        <v>37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2.75" hidden="1" customHeight="1" outlineLevel="2" x14ac:dyDescent="0.35">
      <c r="A168" s="3" t="s">
        <v>128</v>
      </c>
      <c r="B168" s="3" t="s">
        <v>38</v>
      </c>
      <c r="C168" s="5">
        <v>4</v>
      </c>
      <c r="D168" s="5">
        <f t="shared" si="17"/>
        <v>10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2.75" hidden="1" customHeight="1" outlineLevel="2" x14ac:dyDescent="0.35">
      <c r="A169" s="3" t="s">
        <v>128</v>
      </c>
      <c r="B169" s="3" t="s">
        <v>34</v>
      </c>
      <c r="C169" s="5">
        <v>9</v>
      </c>
      <c r="D169" s="5">
        <f t="shared" si="17"/>
        <v>24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2.75" hidden="1" customHeight="1" outlineLevel="2" x14ac:dyDescent="0.35">
      <c r="A170" s="3" t="s">
        <v>128</v>
      </c>
      <c r="B170" s="3" t="s">
        <v>40</v>
      </c>
      <c r="C170" s="5">
        <v>1</v>
      </c>
      <c r="D170" s="5">
        <f t="shared" si="17"/>
        <v>3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2.75" hidden="1" customHeight="1" outlineLevel="2" x14ac:dyDescent="0.35">
      <c r="A171" s="3" t="s">
        <v>128</v>
      </c>
      <c r="B171" s="3" t="s">
        <v>37</v>
      </c>
      <c r="C171" s="5">
        <v>4</v>
      </c>
      <c r="D171" s="5">
        <f t="shared" si="17"/>
        <v>10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2.75" hidden="1" customHeight="1" outlineLevel="2" x14ac:dyDescent="0.35">
      <c r="A172" s="3" t="s">
        <v>128</v>
      </c>
      <c r="B172" s="3" t="s">
        <v>32</v>
      </c>
      <c r="C172" s="5">
        <v>2</v>
      </c>
      <c r="D172" s="5">
        <f t="shared" si="17"/>
        <v>5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2.75" hidden="1" customHeight="1" outlineLevel="2" x14ac:dyDescent="0.35">
      <c r="A173" s="3" t="s">
        <v>128</v>
      </c>
      <c r="B173" s="3" t="s">
        <v>35</v>
      </c>
      <c r="C173" s="5">
        <v>8</v>
      </c>
      <c r="D173" s="5">
        <f t="shared" si="17"/>
        <v>21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2.75" hidden="1" customHeight="1" outlineLevel="2" x14ac:dyDescent="0.35">
      <c r="A174" s="3" t="s">
        <v>128</v>
      </c>
      <c r="B174" s="3" t="s">
        <v>36</v>
      </c>
      <c r="C174" s="5">
        <v>1</v>
      </c>
      <c r="D174" s="5">
        <f t="shared" si="17"/>
        <v>3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2.75" hidden="1" customHeight="1" outlineLevel="1" x14ac:dyDescent="0.35">
      <c r="A175" s="11" t="s">
        <v>129</v>
      </c>
      <c r="B175" s="12"/>
      <c r="C175" s="13"/>
      <c r="D175" s="13">
        <f>SUBTOTAL(9,D167:D174)</f>
        <v>113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2.75" customHeight="1" collapsed="1" x14ac:dyDescent="0.35">
      <c r="A176" s="11" t="s">
        <v>130</v>
      </c>
      <c r="B176" s="12"/>
      <c r="C176" s="13"/>
      <c r="D176" s="13">
        <f>SUBTOTAL(9,D2:D174)</f>
        <v>7222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2.75" customHeight="1" x14ac:dyDescent="0.35">
      <c r="A177" s="2"/>
      <c r="B177" s="6" t="s">
        <v>42</v>
      </c>
      <c r="C177" s="6">
        <f>SUM(C2:C174)</f>
        <v>2756</v>
      </c>
      <c r="D177" s="6">
        <f>'Sub-Total Subrubros Argentina'!C39</f>
        <v>7217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2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2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2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2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2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2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2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2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2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2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2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2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2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2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2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2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2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2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2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2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2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2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2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2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2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2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2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2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2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2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2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2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2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2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2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2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2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2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2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2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2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2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2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2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2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2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2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2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2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2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2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2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2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2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2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2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2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2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2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2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2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2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2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2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2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2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2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2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2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2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2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2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2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2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2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2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2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2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2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2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2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2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2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2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2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2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2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2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2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2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2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2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2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2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2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2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2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2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2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2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2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2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2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2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2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2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2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2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2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2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2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2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2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2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2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2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2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2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2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2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2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2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2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2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2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2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2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2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2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2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2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2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2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2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2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2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2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2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2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2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2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2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2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2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2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2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2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2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2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2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2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2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2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2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2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2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2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2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2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2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2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2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2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2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2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2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2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2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2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2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2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2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2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2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2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2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2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2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2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2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2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2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2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2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2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2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2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2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2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2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2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2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2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2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2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2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2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2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2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2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5.75" customHeight="1" x14ac:dyDescent="0.25"/>
    <row r="379" spans="1:24" ht="15.75" customHeight="1" x14ac:dyDescent="0.25"/>
    <row r="380" spans="1:24" ht="15.75" customHeight="1" x14ac:dyDescent="0.25"/>
    <row r="381" spans="1:24" ht="15.75" customHeight="1" x14ac:dyDescent="0.25"/>
    <row r="382" spans="1:24" ht="15.75" customHeight="1" x14ac:dyDescent="0.25"/>
    <row r="383" spans="1:24" ht="15.75" customHeight="1" x14ac:dyDescent="0.25"/>
    <row r="384" spans="1:2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00"/>
  <sheetViews>
    <sheetView workbookViewId="0"/>
  </sheetViews>
  <sheetFormatPr baseColWidth="10" defaultColWidth="14.44140625" defaultRowHeight="15" customHeight="1" outlineLevelRow="2" x14ac:dyDescent="0.25"/>
  <cols>
    <col min="1" max="1" width="12.6640625" customWidth="1"/>
    <col min="2" max="2" width="22.44140625" customWidth="1"/>
    <col min="3" max="3" width="17.109375" customWidth="1"/>
    <col min="4" max="4" width="22.44140625" customWidth="1"/>
    <col min="5" max="24" width="11.44140625" customWidth="1"/>
  </cols>
  <sheetData>
    <row r="1" spans="1:24" ht="12.75" customHeight="1" x14ac:dyDescent="0.35">
      <c r="A1" s="1" t="s">
        <v>81</v>
      </c>
      <c r="B1" s="1" t="s">
        <v>43</v>
      </c>
      <c r="C1" s="4" t="s">
        <v>42</v>
      </c>
      <c r="D1" s="1" t="s">
        <v>31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2.75" hidden="1" customHeight="1" outlineLevel="2" x14ac:dyDescent="0.35">
      <c r="A2" s="3" t="s">
        <v>82</v>
      </c>
      <c r="B2" s="3" t="s">
        <v>33</v>
      </c>
      <c r="C2" s="5">
        <v>113</v>
      </c>
      <c r="D2" s="5">
        <f t="shared" ref="D2:D31" si="0">ROUND(C2*$D$325/$C$325,0)</f>
        <v>296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2.75" hidden="1" customHeight="1" outlineLevel="2" x14ac:dyDescent="0.35">
      <c r="A3" s="3" t="s">
        <v>82</v>
      </c>
      <c r="B3" s="3" t="s">
        <v>55</v>
      </c>
      <c r="C3" s="5">
        <v>22</v>
      </c>
      <c r="D3" s="5">
        <f t="shared" si="0"/>
        <v>58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2.75" hidden="1" customHeight="1" outlineLevel="2" x14ac:dyDescent="0.35">
      <c r="A4" s="3" t="s">
        <v>82</v>
      </c>
      <c r="B4" s="3" t="s">
        <v>75</v>
      </c>
      <c r="C4" s="5">
        <v>2</v>
      </c>
      <c r="D4" s="5">
        <f t="shared" si="0"/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2.75" hidden="1" customHeight="1" outlineLevel="2" x14ac:dyDescent="0.35">
      <c r="A5" s="3" t="s">
        <v>82</v>
      </c>
      <c r="B5" s="3" t="s">
        <v>73</v>
      </c>
      <c r="C5" s="5">
        <v>2</v>
      </c>
      <c r="D5" s="5">
        <f t="shared" si="0"/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2.75" hidden="1" customHeight="1" outlineLevel="2" x14ac:dyDescent="0.35">
      <c r="A6" s="3" t="s">
        <v>82</v>
      </c>
      <c r="B6" s="3" t="s">
        <v>52</v>
      </c>
      <c r="C6" s="5">
        <v>23</v>
      </c>
      <c r="D6" s="5">
        <f t="shared" si="0"/>
        <v>60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2.75" hidden="1" customHeight="1" outlineLevel="2" x14ac:dyDescent="0.35">
      <c r="A7" s="3" t="s">
        <v>82</v>
      </c>
      <c r="B7" s="3" t="s">
        <v>62</v>
      </c>
      <c r="C7" s="5">
        <v>1</v>
      </c>
      <c r="D7" s="5">
        <f t="shared" si="0"/>
        <v>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2.75" hidden="1" customHeight="1" outlineLevel="2" x14ac:dyDescent="0.35">
      <c r="A8" s="3" t="s">
        <v>82</v>
      </c>
      <c r="B8" s="3" t="s">
        <v>80</v>
      </c>
      <c r="C8" s="5">
        <v>1</v>
      </c>
      <c r="D8" s="5">
        <f t="shared" si="0"/>
        <v>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2.75" hidden="1" customHeight="1" outlineLevel="2" x14ac:dyDescent="0.35">
      <c r="A9" s="3" t="s">
        <v>82</v>
      </c>
      <c r="B9" s="3" t="s">
        <v>71</v>
      </c>
      <c r="C9" s="5">
        <v>2</v>
      </c>
      <c r="D9" s="5">
        <f t="shared" si="0"/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2.75" hidden="1" customHeight="1" outlineLevel="2" x14ac:dyDescent="0.35">
      <c r="A10" s="3" t="s">
        <v>82</v>
      </c>
      <c r="B10" s="3" t="s">
        <v>78</v>
      </c>
      <c r="C10" s="5">
        <v>1</v>
      </c>
      <c r="D10" s="5">
        <f t="shared" si="0"/>
        <v>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2.75" hidden="1" customHeight="1" outlineLevel="2" x14ac:dyDescent="0.35">
      <c r="A11" s="3" t="s">
        <v>82</v>
      </c>
      <c r="B11" s="3" t="s">
        <v>49</v>
      </c>
      <c r="C11" s="5">
        <v>56</v>
      </c>
      <c r="D11" s="5">
        <f t="shared" si="0"/>
        <v>147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2.75" hidden="1" customHeight="1" outlineLevel="2" x14ac:dyDescent="0.35">
      <c r="A12" s="3" t="s">
        <v>82</v>
      </c>
      <c r="B12" s="3" t="s">
        <v>61</v>
      </c>
      <c r="C12" s="5">
        <v>5</v>
      </c>
      <c r="D12" s="5">
        <f t="shared" si="0"/>
        <v>13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2.75" hidden="1" customHeight="1" outlineLevel="2" x14ac:dyDescent="0.35">
      <c r="A13" s="3" t="s">
        <v>82</v>
      </c>
      <c r="B13" s="3" t="s">
        <v>56</v>
      </c>
      <c r="C13" s="5">
        <v>9</v>
      </c>
      <c r="D13" s="5">
        <f t="shared" si="0"/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2.75" hidden="1" customHeight="1" outlineLevel="2" x14ac:dyDescent="0.35">
      <c r="A14" s="3" t="s">
        <v>82</v>
      </c>
      <c r="B14" s="3" t="s">
        <v>66</v>
      </c>
      <c r="C14" s="5">
        <v>1</v>
      </c>
      <c r="D14" s="5">
        <f t="shared" si="0"/>
        <v>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2.75" hidden="1" customHeight="1" outlineLevel="2" x14ac:dyDescent="0.35">
      <c r="A15" s="3" t="s">
        <v>82</v>
      </c>
      <c r="B15" s="3" t="s">
        <v>67</v>
      </c>
      <c r="C15" s="5">
        <v>1</v>
      </c>
      <c r="D15" s="5">
        <f t="shared" si="0"/>
        <v>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2.75" hidden="1" customHeight="1" outlineLevel="2" x14ac:dyDescent="0.35">
      <c r="A16" s="3" t="s">
        <v>82</v>
      </c>
      <c r="B16" s="3" t="s">
        <v>51</v>
      </c>
      <c r="C16" s="5">
        <v>52</v>
      </c>
      <c r="D16" s="5">
        <f t="shared" si="0"/>
        <v>136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2.75" hidden="1" customHeight="1" outlineLevel="2" x14ac:dyDescent="0.35">
      <c r="A17" s="3" t="s">
        <v>82</v>
      </c>
      <c r="B17" s="3" t="s">
        <v>65</v>
      </c>
      <c r="C17" s="5">
        <v>1</v>
      </c>
      <c r="D17" s="5">
        <f t="shared" si="0"/>
        <v>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2.75" hidden="1" customHeight="1" outlineLevel="2" x14ac:dyDescent="0.35">
      <c r="A18" s="3" t="s">
        <v>82</v>
      </c>
      <c r="B18" s="3" t="s">
        <v>59</v>
      </c>
      <c r="C18" s="5">
        <v>2</v>
      </c>
      <c r="D18" s="5">
        <f t="shared" si="0"/>
        <v>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2.75" hidden="1" customHeight="1" outlineLevel="2" x14ac:dyDescent="0.35">
      <c r="A19" s="3" t="s">
        <v>82</v>
      </c>
      <c r="B19" s="3" t="s">
        <v>70</v>
      </c>
      <c r="C19" s="5">
        <v>2</v>
      </c>
      <c r="D19" s="5">
        <f t="shared" si="0"/>
        <v>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2.75" hidden="1" customHeight="1" outlineLevel="2" x14ac:dyDescent="0.35">
      <c r="A20" s="3" t="s">
        <v>82</v>
      </c>
      <c r="B20" s="3" t="s">
        <v>60</v>
      </c>
      <c r="C20" s="5">
        <v>9</v>
      </c>
      <c r="D20" s="5">
        <f t="shared" si="0"/>
        <v>24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2.75" hidden="1" customHeight="1" outlineLevel="2" x14ac:dyDescent="0.35">
      <c r="A21" s="3" t="s">
        <v>82</v>
      </c>
      <c r="B21" s="3" t="s">
        <v>50</v>
      </c>
      <c r="C21" s="5">
        <v>36</v>
      </c>
      <c r="D21" s="5">
        <f t="shared" si="0"/>
        <v>94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2.75" hidden="1" customHeight="1" outlineLevel="2" x14ac:dyDescent="0.35">
      <c r="A22" s="3" t="s">
        <v>82</v>
      </c>
      <c r="B22" s="3" t="s">
        <v>46</v>
      </c>
      <c r="C22" s="5">
        <v>105</v>
      </c>
      <c r="D22" s="5">
        <f t="shared" si="0"/>
        <v>275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2.75" hidden="1" customHeight="1" outlineLevel="2" x14ac:dyDescent="0.35">
      <c r="A23" s="3" t="s">
        <v>82</v>
      </c>
      <c r="B23" s="3" t="s">
        <v>54</v>
      </c>
      <c r="C23" s="5">
        <v>26</v>
      </c>
      <c r="D23" s="5">
        <f t="shared" si="0"/>
        <v>68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2.75" hidden="1" customHeight="1" outlineLevel="2" x14ac:dyDescent="0.35">
      <c r="A24" s="3" t="s">
        <v>82</v>
      </c>
      <c r="B24" s="3" t="s">
        <v>48</v>
      </c>
      <c r="C24" s="5">
        <v>47</v>
      </c>
      <c r="D24" s="5">
        <f t="shared" si="0"/>
        <v>123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2.75" hidden="1" customHeight="1" outlineLevel="2" x14ac:dyDescent="0.35">
      <c r="A25" s="3" t="s">
        <v>82</v>
      </c>
      <c r="B25" s="3" t="s">
        <v>63</v>
      </c>
      <c r="C25" s="5">
        <v>1</v>
      </c>
      <c r="D25" s="5">
        <f t="shared" si="0"/>
        <v>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2.75" hidden="1" customHeight="1" outlineLevel="2" x14ac:dyDescent="0.35">
      <c r="A26" s="3" t="s">
        <v>82</v>
      </c>
      <c r="B26" s="3" t="s">
        <v>45</v>
      </c>
      <c r="C26" s="5">
        <v>191</v>
      </c>
      <c r="D26" s="5">
        <f t="shared" si="0"/>
        <v>500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2.75" hidden="1" customHeight="1" outlineLevel="2" x14ac:dyDescent="0.35">
      <c r="A27" s="3" t="s">
        <v>82</v>
      </c>
      <c r="B27" s="3" t="s">
        <v>72</v>
      </c>
      <c r="C27" s="5">
        <v>2</v>
      </c>
      <c r="D27" s="5">
        <f t="shared" si="0"/>
        <v>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2.75" hidden="1" customHeight="1" outlineLevel="2" x14ac:dyDescent="0.35">
      <c r="A28" s="3" t="s">
        <v>82</v>
      </c>
      <c r="B28" s="3" t="s">
        <v>58</v>
      </c>
      <c r="C28" s="5">
        <v>4</v>
      </c>
      <c r="D28" s="5">
        <f t="shared" si="0"/>
        <v>10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2.75" hidden="1" customHeight="1" outlineLevel="2" x14ac:dyDescent="0.35">
      <c r="A29" s="3" t="s">
        <v>82</v>
      </c>
      <c r="B29" s="3" t="s">
        <v>47</v>
      </c>
      <c r="C29" s="5">
        <v>23</v>
      </c>
      <c r="D29" s="5">
        <f t="shared" si="0"/>
        <v>60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2.75" hidden="1" customHeight="1" outlineLevel="2" x14ac:dyDescent="0.35">
      <c r="A30" s="3" t="s">
        <v>82</v>
      </c>
      <c r="B30" s="3" t="s">
        <v>53</v>
      </c>
      <c r="C30" s="5">
        <v>24</v>
      </c>
      <c r="D30" s="5">
        <f t="shared" si="0"/>
        <v>63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2.75" hidden="1" customHeight="1" outlineLevel="2" x14ac:dyDescent="0.35">
      <c r="A31" s="3" t="s">
        <v>82</v>
      </c>
      <c r="B31" s="3" t="s">
        <v>74</v>
      </c>
      <c r="C31" s="5">
        <v>2</v>
      </c>
      <c r="D31" s="5">
        <f t="shared" si="0"/>
        <v>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2.75" hidden="1" customHeight="1" outlineLevel="1" x14ac:dyDescent="0.35">
      <c r="A32" s="10" t="s">
        <v>83</v>
      </c>
      <c r="B32" s="3"/>
      <c r="C32" s="5"/>
      <c r="D32" s="5">
        <f>SUBTOTAL(9,D2:D31)</f>
        <v>2007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2.75" hidden="1" customHeight="1" outlineLevel="2" x14ac:dyDescent="0.35">
      <c r="A33" s="3" t="s">
        <v>84</v>
      </c>
      <c r="B33" s="3" t="s">
        <v>33</v>
      </c>
      <c r="C33" s="5">
        <v>1</v>
      </c>
      <c r="D33" s="5">
        <f t="shared" ref="D33:D47" si="1">ROUND(C33*$D$325/$C$325,0)</f>
        <v>3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2.75" hidden="1" customHeight="1" outlineLevel="2" x14ac:dyDescent="0.35">
      <c r="A34" s="3" t="s">
        <v>84</v>
      </c>
      <c r="B34" s="3" t="s">
        <v>55</v>
      </c>
      <c r="C34" s="5">
        <v>23</v>
      </c>
      <c r="D34" s="5">
        <f t="shared" si="1"/>
        <v>60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2.75" hidden="1" customHeight="1" outlineLevel="2" x14ac:dyDescent="0.35">
      <c r="A35" s="3" t="s">
        <v>84</v>
      </c>
      <c r="B35" s="3" t="s">
        <v>62</v>
      </c>
      <c r="C35" s="5">
        <v>1</v>
      </c>
      <c r="D35" s="5">
        <f t="shared" si="1"/>
        <v>3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2.75" hidden="1" customHeight="1" outlineLevel="2" x14ac:dyDescent="0.35">
      <c r="A36" s="3" t="s">
        <v>84</v>
      </c>
      <c r="B36" s="3" t="s">
        <v>49</v>
      </c>
      <c r="C36" s="5">
        <v>31</v>
      </c>
      <c r="D36" s="5">
        <f t="shared" si="1"/>
        <v>81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2.75" hidden="1" customHeight="1" outlineLevel="2" x14ac:dyDescent="0.35">
      <c r="A37" s="3" t="s">
        <v>84</v>
      </c>
      <c r="B37" s="3" t="s">
        <v>56</v>
      </c>
      <c r="C37" s="5">
        <v>5</v>
      </c>
      <c r="D37" s="5">
        <f t="shared" si="1"/>
        <v>13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2.75" hidden="1" customHeight="1" outlineLevel="2" x14ac:dyDescent="0.35">
      <c r="A38" s="3" t="s">
        <v>84</v>
      </c>
      <c r="B38" s="3" t="s">
        <v>51</v>
      </c>
      <c r="C38" s="5">
        <v>3</v>
      </c>
      <c r="D38" s="5">
        <f t="shared" si="1"/>
        <v>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2.75" hidden="1" customHeight="1" outlineLevel="2" x14ac:dyDescent="0.35">
      <c r="A39" s="3" t="s">
        <v>84</v>
      </c>
      <c r="B39" s="3" t="s">
        <v>59</v>
      </c>
      <c r="C39" s="5">
        <v>2</v>
      </c>
      <c r="D39" s="5">
        <f t="shared" si="1"/>
        <v>5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2.75" hidden="1" customHeight="1" outlineLevel="2" x14ac:dyDescent="0.35">
      <c r="A40" s="3" t="s">
        <v>84</v>
      </c>
      <c r="B40" s="3" t="s">
        <v>70</v>
      </c>
      <c r="C40" s="5">
        <v>2</v>
      </c>
      <c r="D40" s="5">
        <f t="shared" si="1"/>
        <v>5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2.75" hidden="1" customHeight="1" outlineLevel="2" x14ac:dyDescent="0.35">
      <c r="A41" s="3" t="s">
        <v>84</v>
      </c>
      <c r="B41" s="3" t="s">
        <v>60</v>
      </c>
      <c r="C41" s="5">
        <v>3</v>
      </c>
      <c r="D41" s="5">
        <f t="shared" si="1"/>
        <v>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2.75" hidden="1" customHeight="1" outlineLevel="2" x14ac:dyDescent="0.35">
      <c r="A42" s="3" t="s">
        <v>84</v>
      </c>
      <c r="B42" s="3" t="s">
        <v>50</v>
      </c>
      <c r="C42" s="5">
        <v>2</v>
      </c>
      <c r="D42" s="5">
        <f t="shared" si="1"/>
        <v>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2.75" hidden="1" customHeight="1" outlineLevel="2" x14ac:dyDescent="0.35">
      <c r="A43" s="3" t="s">
        <v>84</v>
      </c>
      <c r="B43" s="3" t="s">
        <v>46</v>
      </c>
      <c r="C43" s="5">
        <v>22</v>
      </c>
      <c r="D43" s="5">
        <f t="shared" si="1"/>
        <v>58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2.75" hidden="1" customHeight="1" outlineLevel="2" x14ac:dyDescent="0.35">
      <c r="A44" s="3" t="s">
        <v>84</v>
      </c>
      <c r="B44" s="3" t="s">
        <v>54</v>
      </c>
      <c r="C44" s="5">
        <v>4</v>
      </c>
      <c r="D44" s="5">
        <f t="shared" si="1"/>
        <v>10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2.75" hidden="1" customHeight="1" outlineLevel="2" x14ac:dyDescent="0.35">
      <c r="A45" s="3" t="s">
        <v>84</v>
      </c>
      <c r="B45" s="3" t="s">
        <v>48</v>
      </c>
      <c r="C45" s="5">
        <v>46</v>
      </c>
      <c r="D45" s="5">
        <f t="shared" si="1"/>
        <v>120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2.75" hidden="1" customHeight="1" outlineLevel="2" x14ac:dyDescent="0.35">
      <c r="A46" s="3" t="s">
        <v>84</v>
      </c>
      <c r="B46" s="3" t="s">
        <v>45</v>
      </c>
      <c r="C46" s="5">
        <v>1</v>
      </c>
      <c r="D46" s="5">
        <f t="shared" si="1"/>
        <v>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2.75" hidden="1" customHeight="1" outlineLevel="2" x14ac:dyDescent="0.35">
      <c r="A47" s="3" t="s">
        <v>84</v>
      </c>
      <c r="B47" s="3" t="s">
        <v>72</v>
      </c>
      <c r="C47" s="5">
        <v>1</v>
      </c>
      <c r="D47" s="5">
        <f t="shared" si="1"/>
        <v>3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2.75" hidden="1" customHeight="1" outlineLevel="1" x14ac:dyDescent="0.35">
      <c r="A48" s="10" t="s">
        <v>85</v>
      </c>
      <c r="B48" s="3"/>
      <c r="C48" s="5"/>
      <c r="D48" s="5">
        <f>SUBTOTAL(9,D33:D47)</f>
        <v>385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2.75" hidden="1" customHeight="1" outlineLevel="2" x14ac:dyDescent="0.35">
      <c r="A49" s="3" t="s">
        <v>86</v>
      </c>
      <c r="B49" s="3" t="s">
        <v>33</v>
      </c>
      <c r="C49" s="5">
        <v>1</v>
      </c>
      <c r="D49" s="5">
        <f>ROUND(C49*$D$325/$C$325,0)</f>
        <v>3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2.75" hidden="1" customHeight="1" outlineLevel="2" x14ac:dyDescent="0.35">
      <c r="A50" s="3" t="s">
        <v>86</v>
      </c>
      <c r="B50" s="3" t="s">
        <v>54</v>
      </c>
      <c r="C50" s="5">
        <v>1</v>
      </c>
      <c r="D50" s="5">
        <f>ROUND(C50*$D$325/$C$325,0)</f>
        <v>3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2.75" hidden="1" customHeight="1" outlineLevel="2" x14ac:dyDescent="0.35">
      <c r="A51" s="3" t="s">
        <v>86</v>
      </c>
      <c r="B51" s="3" t="s">
        <v>47</v>
      </c>
      <c r="C51" s="5">
        <v>1</v>
      </c>
      <c r="D51" s="5">
        <f>ROUND(C51*$D$325/$C$325,0)</f>
        <v>3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2.75" hidden="1" customHeight="1" outlineLevel="2" x14ac:dyDescent="0.35">
      <c r="A52" s="3" t="s">
        <v>86</v>
      </c>
      <c r="B52" s="3" t="s">
        <v>53</v>
      </c>
      <c r="C52" s="5">
        <v>1</v>
      </c>
      <c r="D52" s="5">
        <f>ROUND(C52*$D$325/$C$325,0)</f>
        <v>3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2.75" hidden="1" customHeight="1" outlineLevel="1" x14ac:dyDescent="0.35">
      <c r="A53" s="10" t="s">
        <v>87</v>
      </c>
      <c r="B53" s="3"/>
      <c r="C53" s="5"/>
      <c r="D53" s="5">
        <f>SUBTOTAL(9,D49:D52)</f>
        <v>12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2.75" hidden="1" customHeight="1" outlineLevel="2" x14ac:dyDescent="0.35">
      <c r="A54" s="3" t="s">
        <v>88</v>
      </c>
      <c r="B54" s="3" t="s">
        <v>33</v>
      </c>
      <c r="C54" s="5">
        <v>59</v>
      </c>
      <c r="D54" s="5">
        <f t="shared" ref="D54:D77" si="2">ROUND(C54*$D$325/$C$325,0)</f>
        <v>155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2.75" hidden="1" customHeight="1" outlineLevel="2" x14ac:dyDescent="0.35">
      <c r="A55" s="3" t="s">
        <v>88</v>
      </c>
      <c r="B55" s="3" t="s">
        <v>55</v>
      </c>
      <c r="C55" s="5">
        <v>6</v>
      </c>
      <c r="D55" s="5">
        <f t="shared" si="2"/>
        <v>16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2.75" hidden="1" customHeight="1" outlineLevel="2" x14ac:dyDescent="0.35">
      <c r="A56" s="3" t="s">
        <v>88</v>
      </c>
      <c r="B56" s="3" t="s">
        <v>52</v>
      </c>
      <c r="C56" s="5">
        <v>24</v>
      </c>
      <c r="D56" s="5">
        <f t="shared" si="2"/>
        <v>63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2.75" hidden="1" customHeight="1" outlineLevel="2" x14ac:dyDescent="0.35">
      <c r="A57" s="3" t="s">
        <v>88</v>
      </c>
      <c r="B57" s="3" t="s">
        <v>62</v>
      </c>
      <c r="C57" s="5">
        <v>1</v>
      </c>
      <c r="D57" s="5">
        <f t="shared" si="2"/>
        <v>3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2.75" hidden="1" customHeight="1" outlineLevel="2" x14ac:dyDescent="0.35">
      <c r="A58" s="3" t="s">
        <v>88</v>
      </c>
      <c r="B58" s="3" t="s">
        <v>49</v>
      </c>
      <c r="C58" s="5">
        <v>31</v>
      </c>
      <c r="D58" s="5">
        <f t="shared" si="2"/>
        <v>81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2.75" hidden="1" customHeight="1" outlineLevel="2" x14ac:dyDescent="0.35">
      <c r="A59" s="3" t="s">
        <v>88</v>
      </c>
      <c r="B59" s="3" t="s">
        <v>61</v>
      </c>
      <c r="C59" s="5">
        <v>3</v>
      </c>
      <c r="D59" s="5">
        <f t="shared" si="2"/>
        <v>8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2.75" hidden="1" customHeight="1" outlineLevel="2" x14ac:dyDescent="0.35">
      <c r="A60" s="3" t="s">
        <v>88</v>
      </c>
      <c r="B60" s="3" t="s">
        <v>56</v>
      </c>
      <c r="C60" s="5">
        <v>1</v>
      </c>
      <c r="D60" s="5">
        <f t="shared" si="2"/>
        <v>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2.75" hidden="1" customHeight="1" outlineLevel="2" x14ac:dyDescent="0.35">
      <c r="A61" s="3" t="s">
        <v>88</v>
      </c>
      <c r="B61" s="3" t="s">
        <v>66</v>
      </c>
      <c r="C61" s="5">
        <v>1</v>
      </c>
      <c r="D61" s="5">
        <f t="shared" si="2"/>
        <v>3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2.75" hidden="1" customHeight="1" outlineLevel="2" x14ac:dyDescent="0.35">
      <c r="A62" s="3" t="s">
        <v>88</v>
      </c>
      <c r="B62" s="3" t="s">
        <v>67</v>
      </c>
      <c r="C62" s="5">
        <v>1</v>
      </c>
      <c r="D62" s="5">
        <f t="shared" si="2"/>
        <v>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2.75" hidden="1" customHeight="1" outlineLevel="2" x14ac:dyDescent="0.35">
      <c r="A63" s="3" t="s">
        <v>88</v>
      </c>
      <c r="B63" s="3" t="s">
        <v>51</v>
      </c>
      <c r="C63" s="5">
        <v>19</v>
      </c>
      <c r="D63" s="5">
        <f t="shared" si="2"/>
        <v>50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2.75" hidden="1" customHeight="1" outlineLevel="2" x14ac:dyDescent="0.35">
      <c r="A64" s="3" t="s">
        <v>88</v>
      </c>
      <c r="B64" s="3" t="s">
        <v>76</v>
      </c>
      <c r="C64" s="5">
        <v>1</v>
      </c>
      <c r="D64" s="5">
        <f t="shared" si="2"/>
        <v>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2.75" hidden="1" customHeight="1" outlineLevel="2" x14ac:dyDescent="0.35">
      <c r="A65" s="3" t="s">
        <v>88</v>
      </c>
      <c r="B65" s="3" t="s">
        <v>59</v>
      </c>
      <c r="C65" s="5">
        <v>3</v>
      </c>
      <c r="D65" s="5">
        <f t="shared" si="2"/>
        <v>8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2.75" hidden="1" customHeight="1" outlineLevel="2" x14ac:dyDescent="0.35">
      <c r="A66" s="3" t="s">
        <v>88</v>
      </c>
      <c r="B66" s="3" t="s">
        <v>60</v>
      </c>
      <c r="C66" s="5">
        <v>2</v>
      </c>
      <c r="D66" s="5">
        <f t="shared" si="2"/>
        <v>5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2.75" hidden="1" customHeight="1" outlineLevel="2" x14ac:dyDescent="0.35">
      <c r="A67" s="3" t="s">
        <v>88</v>
      </c>
      <c r="B67" s="3" t="s">
        <v>50</v>
      </c>
      <c r="C67" s="5">
        <v>82</v>
      </c>
      <c r="D67" s="5">
        <f t="shared" si="2"/>
        <v>215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2.75" hidden="1" customHeight="1" outlineLevel="2" x14ac:dyDescent="0.35">
      <c r="A68" s="3" t="s">
        <v>88</v>
      </c>
      <c r="B68" s="3" t="s">
        <v>46</v>
      </c>
      <c r="C68" s="5">
        <v>54</v>
      </c>
      <c r="D68" s="5">
        <f t="shared" si="2"/>
        <v>141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2.75" hidden="1" customHeight="1" outlineLevel="2" x14ac:dyDescent="0.35">
      <c r="A69" s="3" t="s">
        <v>88</v>
      </c>
      <c r="B69" s="3" t="s">
        <v>54</v>
      </c>
      <c r="C69" s="5">
        <v>13</v>
      </c>
      <c r="D69" s="5">
        <f t="shared" si="2"/>
        <v>34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2.75" hidden="1" customHeight="1" outlineLevel="2" x14ac:dyDescent="0.35">
      <c r="A70" s="3" t="s">
        <v>88</v>
      </c>
      <c r="B70" s="3" t="s">
        <v>48</v>
      </c>
      <c r="C70" s="5">
        <v>35</v>
      </c>
      <c r="D70" s="5">
        <f t="shared" si="2"/>
        <v>92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2.75" hidden="1" customHeight="1" outlineLevel="2" x14ac:dyDescent="0.35">
      <c r="A71" s="3" t="s">
        <v>88</v>
      </c>
      <c r="B71" s="3" t="s">
        <v>63</v>
      </c>
      <c r="C71" s="5">
        <v>7</v>
      </c>
      <c r="D71" s="5">
        <f t="shared" si="2"/>
        <v>18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2.75" hidden="1" customHeight="1" outlineLevel="2" x14ac:dyDescent="0.35">
      <c r="A72" s="3" t="s">
        <v>88</v>
      </c>
      <c r="B72" s="3" t="s">
        <v>45</v>
      </c>
      <c r="C72" s="5">
        <v>144</v>
      </c>
      <c r="D72" s="5">
        <f t="shared" si="2"/>
        <v>377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2.75" hidden="1" customHeight="1" outlineLevel="2" x14ac:dyDescent="0.35">
      <c r="A73" s="3" t="s">
        <v>88</v>
      </c>
      <c r="B73" s="3" t="s">
        <v>58</v>
      </c>
      <c r="C73" s="5">
        <v>1</v>
      </c>
      <c r="D73" s="5">
        <f t="shared" si="2"/>
        <v>3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2.75" hidden="1" customHeight="1" outlineLevel="2" x14ac:dyDescent="0.35">
      <c r="A74" s="3" t="s">
        <v>88</v>
      </c>
      <c r="B74" s="3" t="s">
        <v>47</v>
      </c>
      <c r="C74" s="5">
        <v>75</v>
      </c>
      <c r="D74" s="5">
        <f t="shared" si="2"/>
        <v>196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2.75" hidden="1" customHeight="1" outlineLevel="2" x14ac:dyDescent="0.35">
      <c r="A75" s="3" t="s">
        <v>88</v>
      </c>
      <c r="B75" s="3" t="s">
        <v>77</v>
      </c>
      <c r="C75" s="5">
        <v>1</v>
      </c>
      <c r="D75" s="5">
        <f t="shared" si="2"/>
        <v>3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2.75" hidden="1" customHeight="1" outlineLevel="2" x14ac:dyDescent="0.35">
      <c r="A76" s="3" t="s">
        <v>88</v>
      </c>
      <c r="B76" s="3" t="s">
        <v>53</v>
      </c>
      <c r="C76" s="5">
        <v>7</v>
      </c>
      <c r="D76" s="5">
        <f t="shared" si="2"/>
        <v>18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2.75" hidden="1" customHeight="1" outlineLevel="2" x14ac:dyDescent="0.35">
      <c r="A77" s="3" t="s">
        <v>88</v>
      </c>
      <c r="B77" s="3" t="s">
        <v>57</v>
      </c>
      <c r="C77" s="5">
        <v>1</v>
      </c>
      <c r="D77" s="5">
        <f t="shared" si="2"/>
        <v>3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2.75" hidden="1" customHeight="1" outlineLevel="1" x14ac:dyDescent="0.35">
      <c r="A78" s="10" t="s">
        <v>89</v>
      </c>
      <c r="B78" s="3"/>
      <c r="C78" s="5"/>
      <c r="D78" s="5">
        <f>SUBTOTAL(9,D54:D77)</f>
        <v>1501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2.75" hidden="1" customHeight="1" outlineLevel="2" x14ac:dyDescent="0.35">
      <c r="A79" s="3" t="s">
        <v>90</v>
      </c>
      <c r="B79" s="3" t="s">
        <v>33</v>
      </c>
      <c r="C79" s="5">
        <v>8</v>
      </c>
      <c r="D79" s="5">
        <f t="shared" ref="D79:D87" si="3">ROUND(C79*$D$325/$C$325,0)</f>
        <v>21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2.75" hidden="1" customHeight="1" outlineLevel="2" x14ac:dyDescent="0.35">
      <c r="A80" s="3" t="s">
        <v>90</v>
      </c>
      <c r="B80" s="3" t="s">
        <v>64</v>
      </c>
      <c r="C80" s="5">
        <v>1</v>
      </c>
      <c r="D80" s="5">
        <f t="shared" si="3"/>
        <v>3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2.75" hidden="1" customHeight="1" outlineLevel="2" x14ac:dyDescent="0.35">
      <c r="A81" s="3" t="s">
        <v>90</v>
      </c>
      <c r="B81" s="3" t="s">
        <v>49</v>
      </c>
      <c r="C81" s="5">
        <v>2</v>
      </c>
      <c r="D81" s="5">
        <f t="shared" si="3"/>
        <v>5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2.75" hidden="1" customHeight="1" outlineLevel="2" x14ac:dyDescent="0.35">
      <c r="A82" s="3" t="s">
        <v>90</v>
      </c>
      <c r="B82" s="3" t="s">
        <v>56</v>
      </c>
      <c r="C82" s="5">
        <v>1</v>
      </c>
      <c r="D82" s="5">
        <f t="shared" si="3"/>
        <v>3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2.75" hidden="1" customHeight="1" outlineLevel="2" x14ac:dyDescent="0.35">
      <c r="A83" s="3" t="s">
        <v>90</v>
      </c>
      <c r="B83" s="3" t="s">
        <v>65</v>
      </c>
      <c r="C83" s="5">
        <v>1</v>
      </c>
      <c r="D83" s="5">
        <f t="shared" si="3"/>
        <v>3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2.75" hidden="1" customHeight="1" outlineLevel="2" x14ac:dyDescent="0.35">
      <c r="A84" s="3" t="s">
        <v>90</v>
      </c>
      <c r="B84" s="3" t="s">
        <v>46</v>
      </c>
      <c r="C84" s="5">
        <v>3</v>
      </c>
      <c r="D84" s="5">
        <f t="shared" si="3"/>
        <v>8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2.75" hidden="1" customHeight="1" outlineLevel="2" x14ac:dyDescent="0.35">
      <c r="A85" s="3" t="s">
        <v>90</v>
      </c>
      <c r="B85" s="3" t="s">
        <v>54</v>
      </c>
      <c r="C85" s="5">
        <v>2</v>
      </c>
      <c r="D85" s="5">
        <f t="shared" si="3"/>
        <v>5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2.75" hidden="1" customHeight="1" outlineLevel="2" x14ac:dyDescent="0.35">
      <c r="A86" s="3" t="s">
        <v>90</v>
      </c>
      <c r="B86" s="3" t="s">
        <v>45</v>
      </c>
      <c r="C86" s="5">
        <v>3</v>
      </c>
      <c r="D86" s="5">
        <f t="shared" si="3"/>
        <v>8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2.75" hidden="1" customHeight="1" outlineLevel="2" x14ac:dyDescent="0.35">
      <c r="A87" s="3" t="s">
        <v>90</v>
      </c>
      <c r="B87" s="3" t="s">
        <v>68</v>
      </c>
      <c r="C87" s="5">
        <v>2</v>
      </c>
      <c r="D87" s="5">
        <f t="shared" si="3"/>
        <v>5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2.75" hidden="1" customHeight="1" outlineLevel="1" x14ac:dyDescent="0.35">
      <c r="A88" s="10" t="s">
        <v>91</v>
      </c>
      <c r="B88" s="3"/>
      <c r="C88" s="5"/>
      <c r="D88" s="5">
        <f>SUBTOTAL(9,D79:D87)</f>
        <v>61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2.75" hidden="1" customHeight="1" outlineLevel="2" x14ac:dyDescent="0.35">
      <c r="A89" s="3" t="s">
        <v>92</v>
      </c>
      <c r="B89" s="3" t="s">
        <v>33</v>
      </c>
      <c r="C89" s="5">
        <v>25</v>
      </c>
      <c r="D89" s="5">
        <f t="shared" ref="D89:D99" si="4">ROUND(C89*$D$325/$C$325,0)</f>
        <v>65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2.75" hidden="1" customHeight="1" outlineLevel="2" x14ac:dyDescent="0.35">
      <c r="A90" s="3" t="s">
        <v>92</v>
      </c>
      <c r="B90" s="3" t="s">
        <v>52</v>
      </c>
      <c r="C90" s="5">
        <v>3</v>
      </c>
      <c r="D90" s="5">
        <f t="shared" si="4"/>
        <v>8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2.75" hidden="1" customHeight="1" outlineLevel="2" x14ac:dyDescent="0.35">
      <c r="A91" s="3" t="s">
        <v>92</v>
      </c>
      <c r="B91" s="3" t="s">
        <v>49</v>
      </c>
      <c r="C91" s="5">
        <v>5</v>
      </c>
      <c r="D91" s="5">
        <f t="shared" si="4"/>
        <v>13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2.75" hidden="1" customHeight="1" outlineLevel="2" x14ac:dyDescent="0.35">
      <c r="A92" s="3" t="s">
        <v>92</v>
      </c>
      <c r="B92" s="3" t="s">
        <v>67</v>
      </c>
      <c r="C92" s="5">
        <v>4</v>
      </c>
      <c r="D92" s="5">
        <f t="shared" si="4"/>
        <v>10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2.75" hidden="1" customHeight="1" outlineLevel="2" x14ac:dyDescent="0.35">
      <c r="A93" s="3" t="s">
        <v>92</v>
      </c>
      <c r="B93" s="3" t="s">
        <v>51</v>
      </c>
      <c r="C93" s="5">
        <v>2</v>
      </c>
      <c r="D93" s="5">
        <f t="shared" si="4"/>
        <v>5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2.75" hidden="1" customHeight="1" outlineLevel="2" x14ac:dyDescent="0.35">
      <c r="A94" s="3" t="s">
        <v>92</v>
      </c>
      <c r="B94" s="3" t="s">
        <v>46</v>
      </c>
      <c r="C94" s="5">
        <v>4</v>
      </c>
      <c r="D94" s="5">
        <f t="shared" si="4"/>
        <v>10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2.75" hidden="1" customHeight="1" outlineLevel="2" x14ac:dyDescent="0.35">
      <c r="A95" s="3" t="s">
        <v>92</v>
      </c>
      <c r="B95" s="3" t="s">
        <v>48</v>
      </c>
      <c r="C95" s="5">
        <v>2</v>
      </c>
      <c r="D95" s="5">
        <f t="shared" si="4"/>
        <v>5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2.75" hidden="1" customHeight="1" outlineLevel="2" x14ac:dyDescent="0.35">
      <c r="A96" s="3" t="s">
        <v>92</v>
      </c>
      <c r="B96" s="3" t="s">
        <v>58</v>
      </c>
      <c r="C96" s="5">
        <v>3</v>
      </c>
      <c r="D96" s="5">
        <f t="shared" si="4"/>
        <v>8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2.75" hidden="1" customHeight="1" outlineLevel="2" x14ac:dyDescent="0.35">
      <c r="A97" s="3" t="s">
        <v>92</v>
      </c>
      <c r="B97" s="3" t="s">
        <v>68</v>
      </c>
      <c r="C97" s="5">
        <v>1</v>
      </c>
      <c r="D97" s="5">
        <f t="shared" si="4"/>
        <v>3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2.75" hidden="1" customHeight="1" outlineLevel="2" x14ac:dyDescent="0.35">
      <c r="A98" s="3" t="s">
        <v>92</v>
      </c>
      <c r="B98" s="3" t="s">
        <v>53</v>
      </c>
      <c r="C98" s="5">
        <v>1</v>
      </c>
      <c r="D98" s="5">
        <f t="shared" si="4"/>
        <v>3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2.75" hidden="1" customHeight="1" outlineLevel="2" x14ac:dyDescent="0.35">
      <c r="A99" s="3" t="s">
        <v>92</v>
      </c>
      <c r="B99" s="3" t="s">
        <v>57</v>
      </c>
      <c r="C99" s="5">
        <v>1</v>
      </c>
      <c r="D99" s="5">
        <f t="shared" si="4"/>
        <v>3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2.75" hidden="1" customHeight="1" outlineLevel="1" x14ac:dyDescent="0.35">
      <c r="A100" s="10" t="s">
        <v>93</v>
      </c>
      <c r="B100" s="3"/>
      <c r="C100" s="5"/>
      <c r="D100" s="5">
        <f>SUBTOTAL(9,D89:D99)</f>
        <v>133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2.75" hidden="1" customHeight="1" outlineLevel="2" x14ac:dyDescent="0.35">
      <c r="A101" s="3" t="s">
        <v>94</v>
      </c>
      <c r="B101" s="3" t="s">
        <v>52</v>
      </c>
      <c r="C101" s="5">
        <v>1</v>
      </c>
      <c r="D101" s="5">
        <f t="shared" ref="D101:D110" si="5">ROUND(C101*$D$325/$C$325,0)</f>
        <v>3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2.75" hidden="1" customHeight="1" outlineLevel="2" x14ac:dyDescent="0.35">
      <c r="A102" s="3" t="s">
        <v>94</v>
      </c>
      <c r="B102" s="3" t="s">
        <v>49</v>
      </c>
      <c r="C102" s="5">
        <v>4</v>
      </c>
      <c r="D102" s="5">
        <f t="shared" si="5"/>
        <v>10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2.75" hidden="1" customHeight="1" outlineLevel="2" x14ac:dyDescent="0.35">
      <c r="A103" s="3" t="s">
        <v>94</v>
      </c>
      <c r="B103" s="3" t="s">
        <v>56</v>
      </c>
      <c r="C103" s="5">
        <v>4</v>
      </c>
      <c r="D103" s="5">
        <f t="shared" si="5"/>
        <v>10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2.75" hidden="1" customHeight="1" outlineLevel="2" x14ac:dyDescent="0.35">
      <c r="A104" s="3" t="s">
        <v>94</v>
      </c>
      <c r="B104" s="3" t="s">
        <v>51</v>
      </c>
      <c r="C104" s="5">
        <v>8</v>
      </c>
      <c r="D104" s="5">
        <f t="shared" si="5"/>
        <v>21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2.75" hidden="1" customHeight="1" outlineLevel="2" x14ac:dyDescent="0.35">
      <c r="A105" s="3" t="s">
        <v>94</v>
      </c>
      <c r="B105" s="3" t="s">
        <v>50</v>
      </c>
      <c r="C105" s="5">
        <v>2</v>
      </c>
      <c r="D105" s="5">
        <f t="shared" si="5"/>
        <v>5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2.75" hidden="1" customHeight="1" outlineLevel="2" x14ac:dyDescent="0.35">
      <c r="A106" s="3" t="s">
        <v>94</v>
      </c>
      <c r="B106" s="3" t="s">
        <v>46</v>
      </c>
      <c r="C106" s="5">
        <v>11</v>
      </c>
      <c r="D106" s="5">
        <f t="shared" si="5"/>
        <v>29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2.75" hidden="1" customHeight="1" outlineLevel="2" x14ac:dyDescent="0.35">
      <c r="A107" s="3" t="s">
        <v>94</v>
      </c>
      <c r="B107" s="3" t="s">
        <v>54</v>
      </c>
      <c r="C107" s="5">
        <v>3</v>
      </c>
      <c r="D107" s="5">
        <f t="shared" si="5"/>
        <v>8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2.75" hidden="1" customHeight="1" outlineLevel="2" x14ac:dyDescent="0.35">
      <c r="A108" s="3" t="s">
        <v>94</v>
      </c>
      <c r="B108" s="3" t="s">
        <v>48</v>
      </c>
      <c r="C108" s="5">
        <v>5</v>
      </c>
      <c r="D108" s="5">
        <f t="shared" si="5"/>
        <v>13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2.75" hidden="1" customHeight="1" outlineLevel="2" x14ac:dyDescent="0.35">
      <c r="A109" s="3" t="s">
        <v>94</v>
      </c>
      <c r="B109" s="3" t="s">
        <v>45</v>
      </c>
      <c r="C109" s="5">
        <v>19</v>
      </c>
      <c r="D109" s="5">
        <f t="shared" si="5"/>
        <v>50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2.75" hidden="1" customHeight="1" outlineLevel="2" x14ac:dyDescent="0.35">
      <c r="A110" s="3" t="s">
        <v>94</v>
      </c>
      <c r="B110" s="3" t="s">
        <v>53</v>
      </c>
      <c r="C110" s="5">
        <v>2</v>
      </c>
      <c r="D110" s="5">
        <f t="shared" si="5"/>
        <v>5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2.75" hidden="1" customHeight="1" outlineLevel="1" x14ac:dyDescent="0.35">
      <c r="A111" s="10" t="s">
        <v>95</v>
      </c>
      <c r="B111" s="3"/>
      <c r="C111" s="5"/>
      <c r="D111" s="5">
        <f>SUBTOTAL(9,D101:D110)</f>
        <v>154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2.75" hidden="1" customHeight="1" outlineLevel="2" x14ac:dyDescent="0.35">
      <c r="A112" s="3" t="s">
        <v>96</v>
      </c>
      <c r="B112" s="3" t="s">
        <v>33</v>
      </c>
      <c r="C112" s="5">
        <v>16</v>
      </c>
      <c r="D112" s="5">
        <f t="shared" ref="D112:D130" si="6">ROUND(C112*$D$325/$C$325,0)</f>
        <v>42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2.75" hidden="1" customHeight="1" outlineLevel="2" x14ac:dyDescent="0.35">
      <c r="A113" s="3" t="s">
        <v>96</v>
      </c>
      <c r="B113" s="3" t="s">
        <v>64</v>
      </c>
      <c r="C113" s="5">
        <v>10</v>
      </c>
      <c r="D113" s="5">
        <f t="shared" si="6"/>
        <v>26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2.75" hidden="1" customHeight="1" outlineLevel="2" x14ac:dyDescent="0.35">
      <c r="A114" s="3" t="s">
        <v>96</v>
      </c>
      <c r="B114" s="3" t="s">
        <v>52</v>
      </c>
      <c r="C114" s="5">
        <v>12</v>
      </c>
      <c r="D114" s="5">
        <f t="shared" si="6"/>
        <v>31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2.75" hidden="1" customHeight="1" outlineLevel="2" x14ac:dyDescent="0.35">
      <c r="A115" s="3" t="s">
        <v>96</v>
      </c>
      <c r="B115" s="3" t="s">
        <v>71</v>
      </c>
      <c r="C115" s="5">
        <v>1</v>
      </c>
      <c r="D115" s="5">
        <f t="shared" si="6"/>
        <v>3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2.75" hidden="1" customHeight="1" outlineLevel="2" x14ac:dyDescent="0.35">
      <c r="A116" s="3" t="s">
        <v>96</v>
      </c>
      <c r="B116" s="3" t="s">
        <v>78</v>
      </c>
      <c r="C116" s="5">
        <v>1</v>
      </c>
      <c r="D116" s="5">
        <f t="shared" si="6"/>
        <v>3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2.75" hidden="1" customHeight="1" outlineLevel="2" x14ac:dyDescent="0.35">
      <c r="A117" s="3" t="s">
        <v>96</v>
      </c>
      <c r="B117" s="3" t="s">
        <v>49</v>
      </c>
      <c r="C117" s="5">
        <v>4</v>
      </c>
      <c r="D117" s="5">
        <f t="shared" si="6"/>
        <v>10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2.75" hidden="1" customHeight="1" outlineLevel="2" x14ac:dyDescent="0.35">
      <c r="A118" s="3" t="s">
        <v>96</v>
      </c>
      <c r="B118" s="3" t="s">
        <v>56</v>
      </c>
      <c r="C118" s="5">
        <v>3</v>
      </c>
      <c r="D118" s="5">
        <f t="shared" si="6"/>
        <v>8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2.75" hidden="1" customHeight="1" outlineLevel="2" x14ac:dyDescent="0.35">
      <c r="A119" s="3" t="s">
        <v>96</v>
      </c>
      <c r="B119" s="3" t="s">
        <v>66</v>
      </c>
      <c r="C119" s="5">
        <v>1</v>
      </c>
      <c r="D119" s="5">
        <f t="shared" si="6"/>
        <v>3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2.75" hidden="1" customHeight="1" outlineLevel="2" x14ac:dyDescent="0.35">
      <c r="A120" s="3" t="s">
        <v>96</v>
      </c>
      <c r="B120" s="3" t="s">
        <v>51</v>
      </c>
      <c r="C120" s="5">
        <v>1</v>
      </c>
      <c r="D120" s="5">
        <f t="shared" si="6"/>
        <v>3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2.75" hidden="1" customHeight="1" outlineLevel="2" x14ac:dyDescent="0.35">
      <c r="A121" s="3" t="s">
        <v>96</v>
      </c>
      <c r="B121" s="3" t="s">
        <v>65</v>
      </c>
      <c r="C121" s="5">
        <v>1</v>
      </c>
      <c r="D121" s="5">
        <f t="shared" si="6"/>
        <v>3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2.75" hidden="1" customHeight="1" outlineLevel="2" x14ac:dyDescent="0.35">
      <c r="A122" s="3" t="s">
        <v>96</v>
      </c>
      <c r="B122" s="3" t="s">
        <v>59</v>
      </c>
      <c r="C122" s="5">
        <v>1</v>
      </c>
      <c r="D122" s="5">
        <f t="shared" si="6"/>
        <v>3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2.75" hidden="1" customHeight="1" outlineLevel="2" x14ac:dyDescent="0.35">
      <c r="A123" s="3" t="s">
        <v>96</v>
      </c>
      <c r="B123" s="3" t="s">
        <v>70</v>
      </c>
      <c r="C123" s="5">
        <v>1</v>
      </c>
      <c r="D123" s="5">
        <f t="shared" si="6"/>
        <v>3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2.75" hidden="1" customHeight="1" outlineLevel="2" x14ac:dyDescent="0.35">
      <c r="A124" s="3" t="s">
        <v>96</v>
      </c>
      <c r="B124" s="3" t="s">
        <v>50</v>
      </c>
      <c r="C124" s="5">
        <v>3</v>
      </c>
      <c r="D124" s="5">
        <f t="shared" si="6"/>
        <v>8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2.75" hidden="1" customHeight="1" outlineLevel="2" x14ac:dyDescent="0.35">
      <c r="A125" s="3" t="s">
        <v>96</v>
      </c>
      <c r="B125" s="3" t="s">
        <v>46</v>
      </c>
      <c r="C125" s="5">
        <v>19</v>
      </c>
      <c r="D125" s="5">
        <f t="shared" si="6"/>
        <v>50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2.75" hidden="1" customHeight="1" outlineLevel="2" x14ac:dyDescent="0.35">
      <c r="A126" s="3" t="s">
        <v>96</v>
      </c>
      <c r="B126" s="3" t="s">
        <v>54</v>
      </c>
      <c r="C126" s="5">
        <v>5</v>
      </c>
      <c r="D126" s="5">
        <f t="shared" si="6"/>
        <v>13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2.75" hidden="1" customHeight="1" outlineLevel="2" x14ac:dyDescent="0.35">
      <c r="A127" s="3" t="s">
        <v>96</v>
      </c>
      <c r="B127" s="3" t="s">
        <v>48</v>
      </c>
      <c r="C127" s="5">
        <v>3</v>
      </c>
      <c r="D127" s="5">
        <f t="shared" si="6"/>
        <v>8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2.75" hidden="1" customHeight="1" outlineLevel="2" x14ac:dyDescent="0.35">
      <c r="A128" s="3" t="s">
        <v>96</v>
      </c>
      <c r="B128" s="3" t="s">
        <v>45</v>
      </c>
      <c r="C128" s="5">
        <v>11</v>
      </c>
      <c r="D128" s="5">
        <f t="shared" si="6"/>
        <v>29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2.75" hidden="1" customHeight="1" outlineLevel="2" x14ac:dyDescent="0.35">
      <c r="A129" s="3" t="s">
        <v>96</v>
      </c>
      <c r="B129" s="3" t="s">
        <v>58</v>
      </c>
      <c r="C129" s="5">
        <v>1</v>
      </c>
      <c r="D129" s="5">
        <f t="shared" si="6"/>
        <v>3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2.75" hidden="1" customHeight="1" outlineLevel="2" x14ac:dyDescent="0.35">
      <c r="A130" s="3" t="s">
        <v>96</v>
      </c>
      <c r="B130" s="3" t="s">
        <v>47</v>
      </c>
      <c r="C130" s="5">
        <v>13</v>
      </c>
      <c r="D130" s="5">
        <f t="shared" si="6"/>
        <v>34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2.75" hidden="1" customHeight="1" outlineLevel="1" x14ac:dyDescent="0.35">
      <c r="A131" s="10" t="s">
        <v>97</v>
      </c>
      <c r="B131" s="3"/>
      <c r="C131" s="5"/>
      <c r="D131" s="5">
        <f>SUBTOTAL(9,D112:D130)</f>
        <v>283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2.75" hidden="1" customHeight="1" outlineLevel="2" x14ac:dyDescent="0.35">
      <c r="A132" s="3" t="s">
        <v>98</v>
      </c>
      <c r="B132" s="3" t="s">
        <v>52</v>
      </c>
      <c r="C132" s="5">
        <v>2</v>
      </c>
      <c r="D132" s="5">
        <f>ROUND(C132*$D$325/$C$325,0)</f>
        <v>5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2.75" hidden="1" customHeight="1" outlineLevel="2" x14ac:dyDescent="0.35">
      <c r="A133" s="3" t="s">
        <v>98</v>
      </c>
      <c r="B133" s="3" t="s">
        <v>66</v>
      </c>
      <c r="C133" s="5">
        <v>1</v>
      </c>
      <c r="D133" s="5">
        <f>ROUND(C133*$D$325/$C$325,0)</f>
        <v>3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2.75" hidden="1" customHeight="1" outlineLevel="2" x14ac:dyDescent="0.35">
      <c r="A134" s="3" t="s">
        <v>98</v>
      </c>
      <c r="B134" s="3" t="s">
        <v>50</v>
      </c>
      <c r="C134" s="5">
        <v>3</v>
      </c>
      <c r="D134" s="5">
        <f>ROUND(C134*$D$325/$C$325,0)</f>
        <v>8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2.75" hidden="1" customHeight="1" outlineLevel="2" x14ac:dyDescent="0.35">
      <c r="A135" s="3" t="s">
        <v>98</v>
      </c>
      <c r="B135" s="3" t="s">
        <v>46</v>
      </c>
      <c r="C135" s="5">
        <v>7</v>
      </c>
      <c r="D135" s="5">
        <f>ROUND(C135*$D$325/$C$325,0)</f>
        <v>18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2.75" hidden="1" customHeight="1" outlineLevel="2" x14ac:dyDescent="0.35">
      <c r="A136" s="3" t="s">
        <v>98</v>
      </c>
      <c r="B136" s="3" t="s">
        <v>53</v>
      </c>
      <c r="C136" s="5">
        <v>1</v>
      </c>
      <c r="D136" s="5">
        <f>ROUND(C136*$D$325/$C$325,0)</f>
        <v>3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2.75" hidden="1" customHeight="1" outlineLevel="1" x14ac:dyDescent="0.35">
      <c r="A137" s="10" t="s">
        <v>99</v>
      </c>
      <c r="B137" s="3"/>
      <c r="C137" s="5"/>
      <c r="D137" s="5">
        <f>SUBTOTAL(9,D132:D136)</f>
        <v>37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2.75" hidden="1" customHeight="1" outlineLevel="2" x14ac:dyDescent="0.35">
      <c r="A138" s="3" t="s">
        <v>100</v>
      </c>
      <c r="B138" s="3" t="s">
        <v>66</v>
      </c>
      <c r="C138" s="5">
        <v>1</v>
      </c>
      <c r="D138" s="5">
        <f t="shared" ref="D138:D147" si="7">ROUND(C138*$D$325/$C$325,0)</f>
        <v>3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2.75" hidden="1" customHeight="1" outlineLevel="2" x14ac:dyDescent="0.35">
      <c r="A139" s="3" t="s">
        <v>100</v>
      </c>
      <c r="B139" s="3" t="s">
        <v>51</v>
      </c>
      <c r="C139" s="5">
        <v>5</v>
      </c>
      <c r="D139" s="5">
        <f t="shared" si="7"/>
        <v>13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2.75" hidden="1" customHeight="1" outlineLevel="2" x14ac:dyDescent="0.35">
      <c r="A140" s="3" t="s">
        <v>100</v>
      </c>
      <c r="B140" s="3" t="s">
        <v>50</v>
      </c>
      <c r="C140" s="5">
        <v>1</v>
      </c>
      <c r="D140" s="5">
        <f t="shared" si="7"/>
        <v>3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2.75" hidden="1" customHeight="1" outlineLevel="2" x14ac:dyDescent="0.35">
      <c r="A141" s="3" t="s">
        <v>100</v>
      </c>
      <c r="B141" s="3" t="s">
        <v>46</v>
      </c>
      <c r="C141" s="5">
        <v>10</v>
      </c>
      <c r="D141" s="5">
        <f t="shared" si="7"/>
        <v>26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2.75" hidden="1" customHeight="1" outlineLevel="2" x14ac:dyDescent="0.35">
      <c r="A142" s="3" t="s">
        <v>100</v>
      </c>
      <c r="B142" s="3" t="s">
        <v>54</v>
      </c>
      <c r="C142" s="5">
        <v>4</v>
      </c>
      <c r="D142" s="5">
        <f t="shared" si="7"/>
        <v>10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2.75" hidden="1" customHeight="1" outlineLevel="2" x14ac:dyDescent="0.35">
      <c r="A143" s="3" t="s">
        <v>100</v>
      </c>
      <c r="B143" s="3" t="s">
        <v>63</v>
      </c>
      <c r="C143" s="5">
        <v>1</v>
      </c>
      <c r="D143" s="5">
        <f t="shared" si="7"/>
        <v>3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2.75" hidden="1" customHeight="1" outlineLevel="2" x14ac:dyDescent="0.35">
      <c r="A144" s="3" t="s">
        <v>100</v>
      </c>
      <c r="B144" s="3" t="s">
        <v>45</v>
      </c>
      <c r="C144" s="5">
        <v>1</v>
      </c>
      <c r="D144" s="5">
        <f t="shared" si="7"/>
        <v>3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2.75" hidden="1" customHeight="1" outlineLevel="2" x14ac:dyDescent="0.35">
      <c r="A145" s="3" t="s">
        <v>100</v>
      </c>
      <c r="B145" s="3" t="s">
        <v>58</v>
      </c>
      <c r="C145" s="5">
        <v>1</v>
      </c>
      <c r="D145" s="5">
        <f t="shared" si="7"/>
        <v>3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2.75" hidden="1" customHeight="1" outlineLevel="2" x14ac:dyDescent="0.35">
      <c r="A146" s="3" t="s">
        <v>100</v>
      </c>
      <c r="B146" s="3" t="s">
        <v>68</v>
      </c>
      <c r="C146" s="5">
        <v>2</v>
      </c>
      <c r="D146" s="5">
        <f t="shared" si="7"/>
        <v>5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2.75" hidden="1" customHeight="1" outlineLevel="2" x14ac:dyDescent="0.35">
      <c r="A147" s="3" t="s">
        <v>100</v>
      </c>
      <c r="B147" s="3" t="s">
        <v>53</v>
      </c>
      <c r="C147" s="5">
        <v>12</v>
      </c>
      <c r="D147" s="5">
        <f t="shared" si="7"/>
        <v>31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2.75" hidden="1" customHeight="1" outlineLevel="1" x14ac:dyDescent="0.35">
      <c r="A148" s="10" t="s">
        <v>101</v>
      </c>
      <c r="B148" s="3"/>
      <c r="C148" s="5"/>
      <c r="D148" s="5">
        <f>SUBTOTAL(9,D138:D147)</f>
        <v>100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2.75" hidden="1" customHeight="1" outlineLevel="2" x14ac:dyDescent="0.35">
      <c r="A149" s="3" t="s">
        <v>102</v>
      </c>
      <c r="B149" s="3" t="s">
        <v>33</v>
      </c>
      <c r="C149" s="5">
        <v>6</v>
      </c>
      <c r="D149" s="5">
        <f t="shared" ref="D149:D157" si="8">ROUND(C149*$D$325/$C$325,0)</f>
        <v>16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2.75" hidden="1" customHeight="1" outlineLevel="2" x14ac:dyDescent="0.35">
      <c r="A150" s="3" t="s">
        <v>102</v>
      </c>
      <c r="B150" s="3" t="s">
        <v>52</v>
      </c>
      <c r="C150" s="5">
        <v>2</v>
      </c>
      <c r="D150" s="5">
        <f t="shared" si="8"/>
        <v>5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2.75" hidden="1" customHeight="1" outlineLevel="2" x14ac:dyDescent="0.35">
      <c r="A151" s="3" t="s">
        <v>102</v>
      </c>
      <c r="B151" s="3" t="s">
        <v>51</v>
      </c>
      <c r="C151" s="5">
        <v>1</v>
      </c>
      <c r="D151" s="5">
        <f t="shared" si="8"/>
        <v>3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2.75" hidden="1" customHeight="1" outlineLevel="2" x14ac:dyDescent="0.35">
      <c r="A152" s="3" t="s">
        <v>102</v>
      </c>
      <c r="B152" s="3" t="s">
        <v>65</v>
      </c>
      <c r="C152" s="5">
        <v>1</v>
      </c>
      <c r="D152" s="5">
        <f t="shared" si="8"/>
        <v>3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2.75" hidden="1" customHeight="1" outlineLevel="2" x14ac:dyDescent="0.35">
      <c r="A153" s="3" t="s">
        <v>102</v>
      </c>
      <c r="B153" s="3" t="s">
        <v>50</v>
      </c>
      <c r="C153" s="5">
        <v>5</v>
      </c>
      <c r="D153" s="5">
        <f t="shared" si="8"/>
        <v>13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2.75" hidden="1" customHeight="1" outlineLevel="2" x14ac:dyDescent="0.35">
      <c r="A154" s="3" t="s">
        <v>102</v>
      </c>
      <c r="B154" s="3" t="s">
        <v>46</v>
      </c>
      <c r="C154" s="5">
        <v>1</v>
      </c>
      <c r="D154" s="5">
        <f t="shared" si="8"/>
        <v>3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2.75" hidden="1" customHeight="1" outlineLevel="2" x14ac:dyDescent="0.35">
      <c r="A155" s="3" t="s">
        <v>102</v>
      </c>
      <c r="B155" s="3" t="s">
        <v>48</v>
      </c>
      <c r="C155" s="5">
        <v>1</v>
      </c>
      <c r="D155" s="5">
        <f t="shared" si="8"/>
        <v>3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2.75" hidden="1" customHeight="1" outlineLevel="2" x14ac:dyDescent="0.35">
      <c r="A156" s="3" t="s">
        <v>102</v>
      </c>
      <c r="B156" s="3" t="s">
        <v>45</v>
      </c>
      <c r="C156" s="5">
        <v>5</v>
      </c>
      <c r="D156" s="5">
        <f t="shared" si="8"/>
        <v>13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2.75" hidden="1" customHeight="1" outlineLevel="2" x14ac:dyDescent="0.35">
      <c r="A157" s="3" t="s">
        <v>102</v>
      </c>
      <c r="B157" s="3" t="s">
        <v>47</v>
      </c>
      <c r="C157" s="5">
        <v>1</v>
      </c>
      <c r="D157" s="5">
        <f t="shared" si="8"/>
        <v>3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2.75" hidden="1" customHeight="1" outlineLevel="1" x14ac:dyDescent="0.35">
      <c r="A158" s="10" t="s">
        <v>103</v>
      </c>
      <c r="B158" s="3"/>
      <c r="C158" s="5"/>
      <c r="D158" s="5">
        <f>SUBTOTAL(9,D149:D157)</f>
        <v>62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2.75" hidden="1" customHeight="1" outlineLevel="2" x14ac:dyDescent="0.35">
      <c r="A159" s="3" t="s">
        <v>104</v>
      </c>
      <c r="B159" s="3" t="s">
        <v>55</v>
      </c>
      <c r="C159" s="5">
        <v>1</v>
      </c>
      <c r="D159" s="5">
        <f t="shared" ref="D159:D167" si="9">ROUND(C159*$D$325/$C$325,0)</f>
        <v>3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2.75" hidden="1" customHeight="1" outlineLevel="2" x14ac:dyDescent="0.35">
      <c r="A160" s="3" t="s">
        <v>104</v>
      </c>
      <c r="B160" s="3" t="s">
        <v>49</v>
      </c>
      <c r="C160" s="5">
        <v>3</v>
      </c>
      <c r="D160" s="5">
        <f t="shared" si="9"/>
        <v>8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2.75" hidden="1" customHeight="1" outlineLevel="2" x14ac:dyDescent="0.35">
      <c r="A161" s="3" t="s">
        <v>104</v>
      </c>
      <c r="B161" s="3" t="s">
        <v>56</v>
      </c>
      <c r="C161" s="5">
        <v>3</v>
      </c>
      <c r="D161" s="5">
        <f t="shared" si="9"/>
        <v>8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2.75" hidden="1" customHeight="1" outlineLevel="2" x14ac:dyDescent="0.35">
      <c r="A162" s="3" t="s">
        <v>104</v>
      </c>
      <c r="B162" s="3" t="s">
        <v>59</v>
      </c>
      <c r="C162" s="5">
        <v>1</v>
      </c>
      <c r="D162" s="5">
        <f t="shared" si="9"/>
        <v>3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2.75" hidden="1" customHeight="1" outlineLevel="2" x14ac:dyDescent="0.35">
      <c r="A163" s="3" t="s">
        <v>104</v>
      </c>
      <c r="B163" s="3" t="s">
        <v>46</v>
      </c>
      <c r="C163" s="5">
        <v>9</v>
      </c>
      <c r="D163" s="5">
        <f t="shared" si="9"/>
        <v>24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2.75" hidden="1" customHeight="1" outlineLevel="2" x14ac:dyDescent="0.35">
      <c r="A164" s="3" t="s">
        <v>104</v>
      </c>
      <c r="B164" s="3" t="s">
        <v>48</v>
      </c>
      <c r="C164" s="5">
        <v>4</v>
      </c>
      <c r="D164" s="5">
        <f t="shared" si="9"/>
        <v>10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2.75" hidden="1" customHeight="1" outlineLevel="2" x14ac:dyDescent="0.35">
      <c r="A165" s="3" t="s">
        <v>104</v>
      </c>
      <c r="B165" s="3" t="s">
        <v>58</v>
      </c>
      <c r="C165" s="5">
        <v>1</v>
      </c>
      <c r="D165" s="5">
        <f t="shared" si="9"/>
        <v>3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2.75" hidden="1" customHeight="1" outlineLevel="2" x14ac:dyDescent="0.35">
      <c r="A166" s="3" t="s">
        <v>104</v>
      </c>
      <c r="B166" s="3" t="s">
        <v>53</v>
      </c>
      <c r="C166" s="5">
        <v>1</v>
      </c>
      <c r="D166" s="5">
        <f t="shared" si="9"/>
        <v>3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2.75" hidden="1" customHeight="1" outlineLevel="2" x14ac:dyDescent="0.35">
      <c r="A167" s="3" t="s">
        <v>104</v>
      </c>
      <c r="B167" s="3" t="s">
        <v>57</v>
      </c>
      <c r="C167" s="5">
        <v>1</v>
      </c>
      <c r="D167" s="5">
        <f t="shared" si="9"/>
        <v>3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2.75" hidden="1" customHeight="1" outlineLevel="1" x14ac:dyDescent="0.35">
      <c r="A168" s="10" t="s">
        <v>105</v>
      </c>
      <c r="B168" s="3"/>
      <c r="C168" s="5"/>
      <c r="D168" s="5">
        <f>SUBTOTAL(9,D159:D167)</f>
        <v>65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2.75" hidden="1" customHeight="1" outlineLevel="2" x14ac:dyDescent="0.35">
      <c r="A169" s="3" t="s">
        <v>106</v>
      </c>
      <c r="B169" s="3" t="s">
        <v>33</v>
      </c>
      <c r="C169" s="5">
        <v>7</v>
      </c>
      <c r="D169" s="5">
        <f t="shared" ref="D169:D185" si="10">ROUND(C169*$D$325/$C$325,0)</f>
        <v>18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2.75" hidden="1" customHeight="1" outlineLevel="2" x14ac:dyDescent="0.35">
      <c r="A170" s="3" t="s">
        <v>106</v>
      </c>
      <c r="B170" s="3" t="s">
        <v>52</v>
      </c>
      <c r="C170" s="5">
        <v>2</v>
      </c>
      <c r="D170" s="5">
        <f t="shared" si="10"/>
        <v>5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2.75" hidden="1" customHeight="1" outlineLevel="2" x14ac:dyDescent="0.35">
      <c r="A171" s="3" t="s">
        <v>106</v>
      </c>
      <c r="B171" s="3" t="s">
        <v>49</v>
      </c>
      <c r="C171" s="5">
        <v>3</v>
      </c>
      <c r="D171" s="5">
        <f t="shared" si="10"/>
        <v>8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2.75" hidden="1" customHeight="1" outlineLevel="2" x14ac:dyDescent="0.35">
      <c r="A172" s="3" t="s">
        <v>106</v>
      </c>
      <c r="B172" s="3" t="s">
        <v>61</v>
      </c>
      <c r="C172" s="5">
        <v>1</v>
      </c>
      <c r="D172" s="5">
        <f t="shared" si="10"/>
        <v>3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2.75" hidden="1" customHeight="1" outlineLevel="2" x14ac:dyDescent="0.35">
      <c r="A173" s="3" t="s">
        <v>106</v>
      </c>
      <c r="B173" s="3" t="s">
        <v>56</v>
      </c>
      <c r="C173" s="5">
        <v>3</v>
      </c>
      <c r="D173" s="5">
        <f t="shared" si="10"/>
        <v>8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2.75" hidden="1" customHeight="1" outlineLevel="2" x14ac:dyDescent="0.35">
      <c r="A174" s="3" t="s">
        <v>106</v>
      </c>
      <c r="B174" s="3" t="s">
        <v>51</v>
      </c>
      <c r="C174" s="5">
        <v>6</v>
      </c>
      <c r="D174" s="5">
        <f t="shared" si="10"/>
        <v>16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2.75" hidden="1" customHeight="1" outlineLevel="2" x14ac:dyDescent="0.35">
      <c r="A175" s="3" t="s">
        <v>106</v>
      </c>
      <c r="B175" s="3" t="s">
        <v>76</v>
      </c>
      <c r="C175" s="5">
        <v>1</v>
      </c>
      <c r="D175" s="5">
        <f t="shared" si="10"/>
        <v>3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2.75" hidden="1" customHeight="1" outlineLevel="2" x14ac:dyDescent="0.35">
      <c r="A176" s="3" t="s">
        <v>106</v>
      </c>
      <c r="B176" s="3" t="s">
        <v>65</v>
      </c>
      <c r="C176" s="5">
        <v>4</v>
      </c>
      <c r="D176" s="5">
        <f t="shared" si="10"/>
        <v>10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2.75" hidden="1" customHeight="1" outlineLevel="2" x14ac:dyDescent="0.35">
      <c r="A177" s="3" t="s">
        <v>106</v>
      </c>
      <c r="B177" s="3" t="s">
        <v>59</v>
      </c>
      <c r="C177" s="5">
        <v>1</v>
      </c>
      <c r="D177" s="5">
        <f t="shared" si="10"/>
        <v>3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2.75" hidden="1" customHeight="1" outlineLevel="2" x14ac:dyDescent="0.35">
      <c r="A178" s="3" t="s">
        <v>106</v>
      </c>
      <c r="B178" s="3" t="s">
        <v>50</v>
      </c>
      <c r="C178" s="5">
        <v>1</v>
      </c>
      <c r="D178" s="5">
        <f t="shared" si="10"/>
        <v>3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2.75" hidden="1" customHeight="1" outlineLevel="2" x14ac:dyDescent="0.35">
      <c r="A179" s="3" t="s">
        <v>106</v>
      </c>
      <c r="B179" s="3" t="s">
        <v>46</v>
      </c>
      <c r="C179" s="5">
        <v>8</v>
      </c>
      <c r="D179" s="5">
        <f t="shared" si="10"/>
        <v>21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2.75" hidden="1" customHeight="1" outlineLevel="2" x14ac:dyDescent="0.35">
      <c r="A180" s="3" t="s">
        <v>106</v>
      </c>
      <c r="B180" s="3" t="s">
        <v>54</v>
      </c>
      <c r="C180" s="5">
        <v>5</v>
      </c>
      <c r="D180" s="5">
        <f t="shared" si="10"/>
        <v>13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2.75" hidden="1" customHeight="1" outlineLevel="2" x14ac:dyDescent="0.35">
      <c r="A181" s="3" t="s">
        <v>106</v>
      </c>
      <c r="B181" s="3" t="s">
        <v>48</v>
      </c>
      <c r="C181" s="5">
        <v>19</v>
      </c>
      <c r="D181" s="5">
        <f t="shared" si="10"/>
        <v>50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2.75" hidden="1" customHeight="1" outlineLevel="2" x14ac:dyDescent="0.35">
      <c r="A182" s="3" t="s">
        <v>106</v>
      </c>
      <c r="B182" s="3" t="s">
        <v>45</v>
      </c>
      <c r="C182" s="5">
        <v>10</v>
      </c>
      <c r="D182" s="5">
        <f t="shared" si="10"/>
        <v>26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2.75" hidden="1" customHeight="1" outlineLevel="2" x14ac:dyDescent="0.35">
      <c r="A183" s="3" t="s">
        <v>106</v>
      </c>
      <c r="B183" s="3" t="s">
        <v>58</v>
      </c>
      <c r="C183" s="5">
        <v>3</v>
      </c>
      <c r="D183" s="5">
        <f t="shared" si="10"/>
        <v>8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2.75" hidden="1" customHeight="1" outlineLevel="2" x14ac:dyDescent="0.35">
      <c r="A184" s="3" t="s">
        <v>106</v>
      </c>
      <c r="B184" s="3" t="s">
        <v>47</v>
      </c>
      <c r="C184" s="5">
        <v>2</v>
      </c>
      <c r="D184" s="5">
        <f t="shared" si="10"/>
        <v>5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2.75" hidden="1" customHeight="1" outlineLevel="2" x14ac:dyDescent="0.35">
      <c r="A185" s="3" t="s">
        <v>106</v>
      </c>
      <c r="B185" s="3" t="s">
        <v>57</v>
      </c>
      <c r="C185" s="5">
        <v>21</v>
      </c>
      <c r="D185" s="5">
        <f t="shared" si="10"/>
        <v>55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2.75" hidden="1" customHeight="1" outlineLevel="1" x14ac:dyDescent="0.35">
      <c r="A186" s="10" t="s">
        <v>107</v>
      </c>
      <c r="B186" s="3"/>
      <c r="C186" s="5"/>
      <c r="D186" s="5">
        <f>SUBTOTAL(9,D169:D185)</f>
        <v>255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2.75" hidden="1" customHeight="1" outlineLevel="2" x14ac:dyDescent="0.35">
      <c r="A187" s="3" t="s">
        <v>108</v>
      </c>
      <c r="B187" s="3" t="s">
        <v>33</v>
      </c>
      <c r="C187" s="5">
        <v>17</v>
      </c>
      <c r="D187" s="5">
        <f t="shared" ref="D187:D197" si="11">ROUND(C187*$D$325/$C$325,0)</f>
        <v>45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2.75" hidden="1" customHeight="1" outlineLevel="2" x14ac:dyDescent="0.35">
      <c r="A188" s="3" t="s">
        <v>108</v>
      </c>
      <c r="B188" s="3" t="s">
        <v>73</v>
      </c>
      <c r="C188" s="5">
        <v>1</v>
      </c>
      <c r="D188" s="5">
        <f t="shared" si="11"/>
        <v>3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2.75" hidden="1" customHeight="1" outlineLevel="2" x14ac:dyDescent="0.35">
      <c r="A189" s="3" t="s">
        <v>108</v>
      </c>
      <c r="B189" s="3" t="s">
        <v>79</v>
      </c>
      <c r="C189" s="5">
        <v>1</v>
      </c>
      <c r="D189" s="5">
        <f t="shared" si="11"/>
        <v>3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2.75" hidden="1" customHeight="1" outlineLevel="2" x14ac:dyDescent="0.35">
      <c r="A190" s="3" t="s">
        <v>108</v>
      </c>
      <c r="B190" s="3" t="s">
        <v>52</v>
      </c>
      <c r="C190" s="5">
        <v>14</v>
      </c>
      <c r="D190" s="5">
        <f t="shared" si="11"/>
        <v>37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2.75" hidden="1" customHeight="1" outlineLevel="2" x14ac:dyDescent="0.35">
      <c r="A191" s="3" t="s">
        <v>108</v>
      </c>
      <c r="B191" s="3" t="s">
        <v>61</v>
      </c>
      <c r="C191" s="5">
        <v>1</v>
      </c>
      <c r="D191" s="5">
        <f t="shared" si="11"/>
        <v>3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2.75" hidden="1" customHeight="1" outlineLevel="2" x14ac:dyDescent="0.35">
      <c r="A192" s="3" t="s">
        <v>108</v>
      </c>
      <c r="B192" s="3" t="s">
        <v>51</v>
      </c>
      <c r="C192" s="5">
        <v>1</v>
      </c>
      <c r="D192" s="5">
        <f t="shared" si="11"/>
        <v>3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2.75" hidden="1" customHeight="1" outlineLevel="2" x14ac:dyDescent="0.35">
      <c r="A193" s="3" t="s">
        <v>108</v>
      </c>
      <c r="B193" s="3" t="s">
        <v>46</v>
      </c>
      <c r="C193" s="5">
        <v>4</v>
      </c>
      <c r="D193" s="5">
        <f t="shared" si="11"/>
        <v>10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2.75" hidden="1" customHeight="1" outlineLevel="2" x14ac:dyDescent="0.35">
      <c r="A194" s="3" t="s">
        <v>108</v>
      </c>
      <c r="B194" s="3" t="s">
        <v>48</v>
      </c>
      <c r="C194" s="5">
        <v>1</v>
      </c>
      <c r="D194" s="5">
        <f t="shared" si="11"/>
        <v>3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2.75" hidden="1" customHeight="1" outlineLevel="2" x14ac:dyDescent="0.35">
      <c r="A195" s="3" t="s">
        <v>108</v>
      </c>
      <c r="B195" s="3" t="s">
        <v>45</v>
      </c>
      <c r="C195" s="5">
        <v>16</v>
      </c>
      <c r="D195" s="5">
        <f t="shared" si="11"/>
        <v>42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2.75" hidden="1" customHeight="1" outlineLevel="2" x14ac:dyDescent="0.35">
      <c r="A196" s="3" t="s">
        <v>108</v>
      </c>
      <c r="B196" s="3" t="s">
        <v>68</v>
      </c>
      <c r="C196" s="5">
        <v>1</v>
      </c>
      <c r="D196" s="5">
        <f t="shared" si="11"/>
        <v>3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2.75" hidden="1" customHeight="1" outlineLevel="2" x14ac:dyDescent="0.35">
      <c r="A197" s="3" t="s">
        <v>108</v>
      </c>
      <c r="B197" s="3" t="s">
        <v>69</v>
      </c>
      <c r="C197" s="5">
        <v>6</v>
      </c>
      <c r="D197" s="5">
        <f t="shared" si="11"/>
        <v>16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2.75" hidden="1" customHeight="1" outlineLevel="1" x14ac:dyDescent="0.35">
      <c r="A198" s="10" t="s">
        <v>109</v>
      </c>
      <c r="B198" s="3"/>
      <c r="C198" s="5"/>
      <c r="D198" s="5">
        <f>SUBTOTAL(9,D187:D197)</f>
        <v>168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2.75" hidden="1" customHeight="1" outlineLevel="2" x14ac:dyDescent="0.35">
      <c r="A199" s="3" t="s">
        <v>110</v>
      </c>
      <c r="B199" s="3" t="s">
        <v>55</v>
      </c>
      <c r="C199" s="5">
        <v>1</v>
      </c>
      <c r="D199" s="5">
        <f t="shared" ref="D199:D207" si="12">ROUND(C199*$D$325/$C$325,0)</f>
        <v>3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2.75" hidden="1" customHeight="1" outlineLevel="2" x14ac:dyDescent="0.35">
      <c r="A200" s="3" t="s">
        <v>110</v>
      </c>
      <c r="B200" s="3" t="s">
        <v>52</v>
      </c>
      <c r="C200" s="5">
        <v>1</v>
      </c>
      <c r="D200" s="5">
        <f t="shared" si="12"/>
        <v>3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2.75" hidden="1" customHeight="1" outlineLevel="2" x14ac:dyDescent="0.35">
      <c r="A201" s="3" t="s">
        <v>110</v>
      </c>
      <c r="B201" s="3" t="s">
        <v>49</v>
      </c>
      <c r="C201" s="5">
        <v>4</v>
      </c>
      <c r="D201" s="5">
        <f t="shared" si="12"/>
        <v>10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2.75" hidden="1" customHeight="1" outlineLevel="2" x14ac:dyDescent="0.35">
      <c r="A202" s="3" t="s">
        <v>110</v>
      </c>
      <c r="B202" s="3" t="s">
        <v>51</v>
      </c>
      <c r="C202" s="5">
        <v>2</v>
      </c>
      <c r="D202" s="5">
        <f t="shared" si="12"/>
        <v>5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2.75" hidden="1" customHeight="1" outlineLevel="2" x14ac:dyDescent="0.35">
      <c r="A203" s="3" t="s">
        <v>110</v>
      </c>
      <c r="B203" s="3" t="s">
        <v>46</v>
      </c>
      <c r="C203" s="5">
        <v>1</v>
      </c>
      <c r="D203" s="5">
        <f t="shared" si="12"/>
        <v>3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2.75" hidden="1" customHeight="1" outlineLevel="2" x14ac:dyDescent="0.35">
      <c r="A204" s="3" t="s">
        <v>110</v>
      </c>
      <c r="B204" s="3" t="s">
        <v>48</v>
      </c>
      <c r="C204" s="5">
        <v>5</v>
      </c>
      <c r="D204" s="5">
        <f t="shared" si="12"/>
        <v>13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2.75" hidden="1" customHeight="1" outlineLevel="2" x14ac:dyDescent="0.35">
      <c r="A205" s="3" t="s">
        <v>110</v>
      </c>
      <c r="B205" s="3" t="s">
        <v>45</v>
      </c>
      <c r="C205" s="5">
        <v>2</v>
      </c>
      <c r="D205" s="5">
        <f t="shared" si="12"/>
        <v>5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2.75" hidden="1" customHeight="1" outlineLevel="2" x14ac:dyDescent="0.35">
      <c r="A206" s="3" t="s">
        <v>110</v>
      </c>
      <c r="B206" s="3" t="s">
        <v>53</v>
      </c>
      <c r="C206" s="5">
        <v>4</v>
      </c>
      <c r="D206" s="5">
        <f t="shared" si="12"/>
        <v>10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2.75" hidden="1" customHeight="1" outlineLevel="2" x14ac:dyDescent="0.35">
      <c r="A207" s="3" t="s">
        <v>110</v>
      </c>
      <c r="B207" s="3" t="s">
        <v>57</v>
      </c>
      <c r="C207" s="5">
        <v>1</v>
      </c>
      <c r="D207" s="5">
        <f t="shared" si="12"/>
        <v>3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2.75" hidden="1" customHeight="1" outlineLevel="1" x14ac:dyDescent="0.35">
      <c r="A208" s="10" t="s">
        <v>111</v>
      </c>
      <c r="B208" s="3"/>
      <c r="C208" s="5"/>
      <c r="D208" s="5">
        <f>SUBTOTAL(9,D199:D207)</f>
        <v>55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2.75" hidden="1" customHeight="1" outlineLevel="2" x14ac:dyDescent="0.35">
      <c r="A209" s="3" t="s">
        <v>112</v>
      </c>
      <c r="B209" s="3" t="s">
        <v>33</v>
      </c>
      <c r="C209" s="5">
        <v>4</v>
      </c>
      <c r="D209" s="5">
        <f t="shared" ref="D209:D223" si="13">ROUND(C209*$D$325/$C$325,0)</f>
        <v>10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2.75" hidden="1" customHeight="1" outlineLevel="2" x14ac:dyDescent="0.35">
      <c r="A210" s="3" t="s">
        <v>112</v>
      </c>
      <c r="B210" s="3" t="s">
        <v>52</v>
      </c>
      <c r="C210" s="5">
        <v>1</v>
      </c>
      <c r="D210" s="5">
        <f t="shared" si="13"/>
        <v>3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2.75" hidden="1" customHeight="1" outlineLevel="2" x14ac:dyDescent="0.35">
      <c r="A211" s="3" t="s">
        <v>112</v>
      </c>
      <c r="B211" s="3" t="s">
        <v>49</v>
      </c>
      <c r="C211" s="5">
        <v>9</v>
      </c>
      <c r="D211" s="5">
        <f t="shared" si="13"/>
        <v>24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2.75" hidden="1" customHeight="1" outlineLevel="2" x14ac:dyDescent="0.35">
      <c r="A212" s="3" t="s">
        <v>112</v>
      </c>
      <c r="B212" s="3" t="s">
        <v>56</v>
      </c>
      <c r="C212" s="5">
        <v>3</v>
      </c>
      <c r="D212" s="5">
        <f t="shared" si="13"/>
        <v>8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2.75" hidden="1" customHeight="1" outlineLevel="2" x14ac:dyDescent="0.35">
      <c r="A213" s="3" t="s">
        <v>112</v>
      </c>
      <c r="B213" s="3" t="s">
        <v>51</v>
      </c>
      <c r="C213" s="5">
        <v>2</v>
      </c>
      <c r="D213" s="5">
        <f t="shared" si="13"/>
        <v>5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2.75" hidden="1" customHeight="1" outlineLevel="2" x14ac:dyDescent="0.35">
      <c r="A214" s="3" t="s">
        <v>112</v>
      </c>
      <c r="B214" s="3" t="s">
        <v>59</v>
      </c>
      <c r="C214" s="5">
        <v>1</v>
      </c>
      <c r="D214" s="5">
        <f t="shared" si="13"/>
        <v>3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2.75" hidden="1" customHeight="1" outlineLevel="2" x14ac:dyDescent="0.35">
      <c r="A215" s="3" t="s">
        <v>112</v>
      </c>
      <c r="B215" s="3" t="s">
        <v>50</v>
      </c>
      <c r="C215" s="5">
        <v>1</v>
      </c>
      <c r="D215" s="5">
        <f t="shared" si="13"/>
        <v>3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2.75" hidden="1" customHeight="1" outlineLevel="2" x14ac:dyDescent="0.35">
      <c r="A216" s="3" t="s">
        <v>112</v>
      </c>
      <c r="B216" s="3" t="s">
        <v>46</v>
      </c>
      <c r="C216" s="5">
        <v>7</v>
      </c>
      <c r="D216" s="5">
        <f t="shared" si="13"/>
        <v>18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2.75" hidden="1" customHeight="1" outlineLevel="2" x14ac:dyDescent="0.35">
      <c r="A217" s="3" t="s">
        <v>112</v>
      </c>
      <c r="B217" s="3" t="s">
        <v>54</v>
      </c>
      <c r="C217" s="5">
        <v>2</v>
      </c>
      <c r="D217" s="5">
        <f t="shared" si="13"/>
        <v>5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2.75" hidden="1" customHeight="1" outlineLevel="2" x14ac:dyDescent="0.35">
      <c r="A218" s="3" t="s">
        <v>112</v>
      </c>
      <c r="B218" s="3" t="s">
        <v>48</v>
      </c>
      <c r="C218" s="5">
        <v>5</v>
      </c>
      <c r="D218" s="5">
        <f t="shared" si="13"/>
        <v>13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2.75" hidden="1" customHeight="1" outlineLevel="2" x14ac:dyDescent="0.35">
      <c r="A219" s="3" t="s">
        <v>112</v>
      </c>
      <c r="B219" s="3" t="s">
        <v>45</v>
      </c>
      <c r="C219" s="5">
        <v>4</v>
      </c>
      <c r="D219" s="5">
        <f t="shared" si="13"/>
        <v>10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2.75" hidden="1" customHeight="1" outlineLevel="2" x14ac:dyDescent="0.35">
      <c r="A220" s="3" t="s">
        <v>112</v>
      </c>
      <c r="B220" s="3" t="s">
        <v>58</v>
      </c>
      <c r="C220" s="5">
        <v>7</v>
      </c>
      <c r="D220" s="5">
        <f t="shared" si="13"/>
        <v>18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2.75" hidden="1" customHeight="1" outlineLevel="2" x14ac:dyDescent="0.35">
      <c r="A221" s="3" t="s">
        <v>112</v>
      </c>
      <c r="B221" s="3" t="s">
        <v>77</v>
      </c>
      <c r="C221" s="5">
        <v>1</v>
      </c>
      <c r="D221" s="5">
        <f t="shared" si="13"/>
        <v>3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2.75" hidden="1" customHeight="1" outlineLevel="2" x14ac:dyDescent="0.35">
      <c r="A222" s="3" t="s">
        <v>112</v>
      </c>
      <c r="B222" s="3" t="s">
        <v>53</v>
      </c>
      <c r="C222" s="5">
        <v>1</v>
      </c>
      <c r="D222" s="5">
        <f t="shared" si="13"/>
        <v>3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2.75" hidden="1" customHeight="1" outlineLevel="2" x14ac:dyDescent="0.35">
      <c r="A223" s="3" t="s">
        <v>112</v>
      </c>
      <c r="B223" s="3" t="s">
        <v>57</v>
      </c>
      <c r="C223" s="5">
        <v>2</v>
      </c>
      <c r="D223" s="5">
        <f t="shared" si="13"/>
        <v>5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2.75" hidden="1" customHeight="1" outlineLevel="1" x14ac:dyDescent="0.35">
      <c r="A224" s="10" t="s">
        <v>113</v>
      </c>
      <c r="B224" s="3"/>
      <c r="C224" s="5"/>
      <c r="D224" s="5">
        <f>SUBTOTAL(9,D209:D223)</f>
        <v>131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2.75" hidden="1" customHeight="1" outlineLevel="2" x14ac:dyDescent="0.35">
      <c r="A225" s="3" t="s">
        <v>114</v>
      </c>
      <c r="B225" s="3" t="s">
        <v>55</v>
      </c>
      <c r="C225" s="5">
        <v>1</v>
      </c>
      <c r="D225" s="5">
        <f t="shared" ref="D225:D234" si="14">ROUND(C225*$D$325/$C$325,0)</f>
        <v>3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2.75" hidden="1" customHeight="1" outlineLevel="2" x14ac:dyDescent="0.35">
      <c r="A226" s="3" t="s">
        <v>114</v>
      </c>
      <c r="B226" s="3" t="s">
        <v>49</v>
      </c>
      <c r="C226" s="5">
        <v>1</v>
      </c>
      <c r="D226" s="5">
        <f t="shared" si="14"/>
        <v>3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2.75" hidden="1" customHeight="1" outlineLevel="2" x14ac:dyDescent="0.35">
      <c r="A227" s="3" t="s">
        <v>114</v>
      </c>
      <c r="B227" s="3" t="s">
        <v>51</v>
      </c>
      <c r="C227" s="5">
        <v>1</v>
      </c>
      <c r="D227" s="5">
        <f t="shared" si="14"/>
        <v>3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2.75" hidden="1" customHeight="1" outlineLevel="2" x14ac:dyDescent="0.35">
      <c r="A228" s="3" t="s">
        <v>114</v>
      </c>
      <c r="B228" s="3" t="s">
        <v>46</v>
      </c>
      <c r="C228" s="5">
        <v>12</v>
      </c>
      <c r="D228" s="5">
        <f t="shared" si="14"/>
        <v>31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2.75" hidden="1" customHeight="1" outlineLevel="2" x14ac:dyDescent="0.35">
      <c r="A229" s="3" t="s">
        <v>114</v>
      </c>
      <c r="B229" s="3" t="s">
        <v>54</v>
      </c>
      <c r="C229" s="5">
        <v>1</v>
      </c>
      <c r="D229" s="5">
        <f t="shared" si="14"/>
        <v>3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2.75" hidden="1" customHeight="1" outlineLevel="2" x14ac:dyDescent="0.35">
      <c r="A230" s="3" t="s">
        <v>114</v>
      </c>
      <c r="B230" s="3" t="s">
        <v>48</v>
      </c>
      <c r="C230" s="5">
        <v>1</v>
      </c>
      <c r="D230" s="5">
        <f t="shared" si="14"/>
        <v>3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2.75" hidden="1" customHeight="1" outlineLevel="2" x14ac:dyDescent="0.35">
      <c r="A231" s="3" t="s">
        <v>114</v>
      </c>
      <c r="B231" s="3" t="s">
        <v>63</v>
      </c>
      <c r="C231" s="5">
        <v>1</v>
      </c>
      <c r="D231" s="5">
        <f t="shared" si="14"/>
        <v>3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2.75" hidden="1" customHeight="1" outlineLevel="2" x14ac:dyDescent="0.35">
      <c r="A232" s="3" t="s">
        <v>114</v>
      </c>
      <c r="B232" s="3" t="s">
        <v>45</v>
      </c>
      <c r="C232" s="5">
        <v>1</v>
      </c>
      <c r="D232" s="5">
        <f t="shared" si="14"/>
        <v>3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2.75" hidden="1" customHeight="1" outlineLevel="2" x14ac:dyDescent="0.35">
      <c r="A233" s="3" t="s">
        <v>114</v>
      </c>
      <c r="B233" s="3" t="s">
        <v>47</v>
      </c>
      <c r="C233" s="5">
        <v>1</v>
      </c>
      <c r="D233" s="5">
        <f t="shared" si="14"/>
        <v>3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2.75" hidden="1" customHeight="1" outlineLevel="2" x14ac:dyDescent="0.35">
      <c r="A234" s="3" t="s">
        <v>114</v>
      </c>
      <c r="B234" s="3" t="s">
        <v>68</v>
      </c>
      <c r="C234" s="5">
        <v>1</v>
      </c>
      <c r="D234" s="5">
        <f t="shared" si="14"/>
        <v>3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2.75" hidden="1" customHeight="1" outlineLevel="1" x14ac:dyDescent="0.35">
      <c r="A235" s="10" t="s">
        <v>115</v>
      </c>
      <c r="B235" s="3"/>
      <c r="C235" s="5"/>
      <c r="D235" s="5">
        <f>SUBTOTAL(9,D225:D234)</f>
        <v>58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2.75" hidden="1" customHeight="1" outlineLevel="2" x14ac:dyDescent="0.35">
      <c r="A236" s="3" t="s">
        <v>116</v>
      </c>
      <c r="B236" s="3" t="s">
        <v>33</v>
      </c>
      <c r="C236" s="5">
        <v>2</v>
      </c>
      <c r="D236" s="5">
        <f t="shared" ref="D236:D244" si="15">ROUND(C236*$D$325/$C$325,0)</f>
        <v>5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2.75" hidden="1" customHeight="1" outlineLevel="2" x14ac:dyDescent="0.35">
      <c r="A237" s="3" t="s">
        <v>116</v>
      </c>
      <c r="B237" s="3" t="s">
        <v>55</v>
      </c>
      <c r="C237" s="5">
        <v>1</v>
      </c>
      <c r="D237" s="5">
        <f t="shared" si="15"/>
        <v>3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2.75" hidden="1" customHeight="1" outlineLevel="2" x14ac:dyDescent="0.35">
      <c r="A238" s="3" t="s">
        <v>116</v>
      </c>
      <c r="B238" s="3" t="s">
        <v>49</v>
      </c>
      <c r="C238" s="5">
        <v>2</v>
      </c>
      <c r="D238" s="5">
        <f t="shared" si="15"/>
        <v>5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2.75" hidden="1" customHeight="1" outlineLevel="2" x14ac:dyDescent="0.35">
      <c r="A239" s="3" t="s">
        <v>116</v>
      </c>
      <c r="B239" s="3" t="s">
        <v>51</v>
      </c>
      <c r="C239" s="5">
        <v>1</v>
      </c>
      <c r="D239" s="5">
        <f t="shared" si="15"/>
        <v>3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2.75" hidden="1" customHeight="1" outlineLevel="2" x14ac:dyDescent="0.35">
      <c r="A240" s="3" t="s">
        <v>116</v>
      </c>
      <c r="B240" s="3" t="s">
        <v>65</v>
      </c>
      <c r="C240" s="5">
        <v>1</v>
      </c>
      <c r="D240" s="5">
        <f t="shared" si="15"/>
        <v>3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2.75" hidden="1" customHeight="1" outlineLevel="2" x14ac:dyDescent="0.35">
      <c r="A241" s="3" t="s">
        <v>116</v>
      </c>
      <c r="B241" s="3" t="s">
        <v>48</v>
      </c>
      <c r="C241" s="5">
        <v>3</v>
      </c>
      <c r="D241" s="5">
        <f t="shared" si="15"/>
        <v>8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2.75" hidden="1" customHeight="1" outlineLevel="2" x14ac:dyDescent="0.35">
      <c r="A242" s="3" t="s">
        <v>116</v>
      </c>
      <c r="B242" s="3" t="s">
        <v>45</v>
      </c>
      <c r="C242" s="5">
        <v>7</v>
      </c>
      <c r="D242" s="5">
        <f t="shared" si="15"/>
        <v>18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2.75" hidden="1" customHeight="1" outlineLevel="2" x14ac:dyDescent="0.35">
      <c r="A243" s="3" t="s">
        <v>116</v>
      </c>
      <c r="B243" s="3" t="s">
        <v>58</v>
      </c>
      <c r="C243" s="5">
        <v>2</v>
      </c>
      <c r="D243" s="5">
        <f t="shared" si="15"/>
        <v>5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2.75" hidden="1" customHeight="1" outlineLevel="2" x14ac:dyDescent="0.35">
      <c r="A244" s="3" t="s">
        <v>116</v>
      </c>
      <c r="B244" s="3" t="s">
        <v>57</v>
      </c>
      <c r="C244" s="5">
        <v>2</v>
      </c>
      <c r="D244" s="5">
        <f t="shared" si="15"/>
        <v>5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2.75" hidden="1" customHeight="1" outlineLevel="1" x14ac:dyDescent="0.35">
      <c r="A245" s="10" t="s">
        <v>117</v>
      </c>
      <c r="B245" s="3"/>
      <c r="C245" s="5"/>
      <c r="D245" s="5">
        <f>SUBTOTAL(9,D236:D244)</f>
        <v>55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2.75" hidden="1" customHeight="1" outlineLevel="2" x14ac:dyDescent="0.35">
      <c r="A246" s="3" t="s">
        <v>118</v>
      </c>
      <c r="B246" s="3" t="s">
        <v>33</v>
      </c>
      <c r="C246" s="5">
        <v>2</v>
      </c>
      <c r="D246" s="5">
        <f t="shared" ref="D246:D254" si="16">ROUND(C246*$D$325/$C$325,0)</f>
        <v>5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2.75" hidden="1" customHeight="1" outlineLevel="2" x14ac:dyDescent="0.35">
      <c r="A247" s="3" t="s">
        <v>118</v>
      </c>
      <c r="B247" s="3" t="s">
        <v>55</v>
      </c>
      <c r="C247" s="5">
        <v>2</v>
      </c>
      <c r="D247" s="5">
        <f t="shared" si="16"/>
        <v>5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2.75" hidden="1" customHeight="1" outlineLevel="2" x14ac:dyDescent="0.35">
      <c r="A248" s="3" t="s">
        <v>118</v>
      </c>
      <c r="B248" s="3" t="s">
        <v>52</v>
      </c>
      <c r="C248" s="5">
        <v>1</v>
      </c>
      <c r="D248" s="5">
        <f t="shared" si="16"/>
        <v>3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2.75" hidden="1" customHeight="1" outlineLevel="2" x14ac:dyDescent="0.35">
      <c r="A249" s="3" t="s">
        <v>118</v>
      </c>
      <c r="B249" s="3" t="s">
        <v>49</v>
      </c>
      <c r="C249" s="5">
        <v>3</v>
      </c>
      <c r="D249" s="5">
        <f t="shared" si="16"/>
        <v>8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2.75" hidden="1" customHeight="1" outlineLevel="2" x14ac:dyDescent="0.35">
      <c r="A250" s="3" t="s">
        <v>118</v>
      </c>
      <c r="B250" s="3" t="s">
        <v>66</v>
      </c>
      <c r="C250" s="5">
        <v>1</v>
      </c>
      <c r="D250" s="5">
        <f t="shared" si="16"/>
        <v>3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2.75" hidden="1" customHeight="1" outlineLevel="2" x14ac:dyDescent="0.35">
      <c r="A251" s="3" t="s">
        <v>118</v>
      </c>
      <c r="B251" s="3" t="s">
        <v>46</v>
      </c>
      <c r="C251" s="5">
        <v>3</v>
      </c>
      <c r="D251" s="5">
        <f t="shared" si="16"/>
        <v>8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2.75" hidden="1" customHeight="1" outlineLevel="2" x14ac:dyDescent="0.35">
      <c r="A252" s="3" t="s">
        <v>118</v>
      </c>
      <c r="B252" s="3" t="s">
        <v>54</v>
      </c>
      <c r="C252" s="5">
        <v>2</v>
      </c>
      <c r="D252" s="5">
        <f t="shared" si="16"/>
        <v>5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2.75" hidden="1" customHeight="1" outlineLevel="2" x14ac:dyDescent="0.35">
      <c r="A253" s="3" t="s">
        <v>118</v>
      </c>
      <c r="B253" s="3" t="s">
        <v>45</v>
      </c>
      <c r="C253" s="5">
        <v>1</v>
      </c>
      <c r="D253" s="5">
        <f t="shared" si="16"/>
        <v>3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2.75" hidden="1" customHeight="1" outlineLevel="2" x14ac:dyDescent="0.35">
      <c r="A254" s="3" t="s">
        <v>118</v>
      </c>
      <c r="B254" s="3" t="s">
        <v>53</v>
      </c>
      <c r="C254" s="5">
        <v>4</v>
      </c>
      <c r="D254" s="5">
        <f t="shared" si="16"/>
        <v>10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2.75" hidden="1" customHeight="1" outlineLevel="1" x14ac:dyDescent="0.35">
      <c r="A255" s="10" t="s">
        <v>119</v>
      </c>
      <c r="B255" s="3"/>
      <c r="C255" s="5"/>
      <c r="D255" s="5">
        <f>SUBTOTAL(9,D246:D254)</f>
        <v>50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2.75" hidden="1" customHeight="1" outlineLevel="2" x14ac:dyDescent="0.35">
      <c r="A256" s="3" t="s">
        <v>120</v>
      </c>
      <c r="B256" s="3" t="s">
        <v>33</v>
      </c>
      <c r="C256" s="5">
        <v>3</v>
      </c>
      <c r="D256" s="5">
        <f t="shared" ref="D256:D265" si="17">ROUND(C256*$D$325/$C$325,0)</f>
        <v>8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2.75" hidden="1" customHeight="1" outlineLevel="2" x14ac:dyDescent="0.35">
      <c r="A257" s="3" t="s">
        <v>120</v>
      </c>
      <c r="B257" s="3" t="s">
        <v>49</v>
      </c>
      <c r="C257" s="5">
        <v>1</v>
      </c>
      <c r="D257" s="5">
        <f t="shared" si="17"/>
        <v>3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2.75" hidden="1" customHeight="1" outlineLevel="2" x14ac:dyDescent="0.35">
      <c r="A258" s="3" t="s">
        <v>120</v>
      </c>
      <c r="B258" s="3" t="s">
        <v>61</v>
      </c>
      <c r="C258" s="5">
        <v>1</v>
      </c>
      <c r="D258" s="5">
        <f t="shared" si="17"/>
        <v>3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2.75" hidden="1" customHeight="1" outlineLevel="2" x14ac:dyDescent="0.35">
      <c r="A259" s="3" t="s">
        <v>120</v>
      </c>
      <c r="B259" s="3" t="s">
        <v>56</v>
      </c>
      <c r="C259" s="5">
        <v>1</v>
      </c>
      <c r="D259" s="5">
        <f t="shared" si="17"/>
        <v>3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2.75" hidden="1" customHeight="1" outlineLevel="2" x14ac:dyDescent="0.35">
      <c r="A260" s="3" t="s">
        <v>120</v>
      </c>
      <c r="B260" s="3" t="s">
        <v>51</v>
      </c>
      <c r="C260" s="5">
        <v>1</v>
      </c>
      <c r="D260" s="5">
        <f t="shared" si="17"/>
        <v>3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2.75" hidden="1" customHeight="1" outlineLevel="2" x14ac:dyDescent="0.35">
      <c r="A261" s="3" t="s">
        <v>120</v>
      </c>
      <c r="B261" s="3" t="s">
        <v>46</v>
      </c>
      <c r="C261" s="5">
        <v>6</v>
      </c>
      <c r="D261" s="5">
        <f t="shared" si="17"/>
        <v>16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2.75" hidden="1" customHeight="1" outlineLevel="2" x14ac:dyDescent="0.35">
      <c r="A262" s="3" t="s">
        <v>120</v>
      </c>
      <c r="B262" s="3" t="s">
        <v>54</v>
      </c>
      <c r="C262" s="5">
        <v>2</v>
      </c>
      <c r="D262" s="5">
        <f t="shared" si="17"/>
        <v>5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2.75" hidden="1" customHeight="1" outlineLevel="2" x14ac:dyDescent="0.35">
      <c r="A263" s="3" t="s">
        <v>120</v>
      </c>
      <c r="B263" s="3" t="s">
        <v>58</v>
      </c>
      <c r="C263" s="5">
        <v>1</v>
      </c>
      <c r="D263" s="5">
        <f t="shared" si="17"/>
        <v>3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2.75" hidden="1" customHeight="1" outlineLevel="2" x14ac:dyDescent="0.35">
      <c r="A264" s="3" t="s">
        <v>120</v>
      </c>
      <c r="B264" s="3" t="s">
        <v>47</v>
      </c>
      <c r="C264" s="5">
        <v>2</v>
      </c>
      <c r="D264" s="5">
        <f t="shared" si="17"/>
        <v>5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2.75" hidden="1" customHeight="1" outlineLevel="2" x14ac:dyDescent="0.35">
      <c r="A265" s="3" t="s">
        <v>120</v>
      </c>
      <c r="B265" s="3" t="s">
        <v>53</v>
      </c>
      <c r="C265" s="5">
        <v>7</v>
      </c>
      <c r="D265" s="5">
        <f t="shared" si="17"/>
        <v>18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2.75" hidden="1" customHeight="1" outlineLevel="1" x14ac:dyDescent="0.35">
      <c r="A266" s="10" t="s">
        <v>121</v>
      </c>
      <c r="B266" s="3"/>
      <c r="C266" s="5"/>
      <c r="D266" s="5">
        <f>SUBTOTAL(9,D256:D265)</f>
        <v>67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2.75" hidden="1" customHeight="1" outlineLevel="2" x14ac:dyDescent="0.35">
      <c r="A267" s="3" t="s">
        <v>122</v>
      </c>
      <c r="B267" s="3" t="s">
        <v>33</v>
      </c>
      <c r="C267" s="5">
        <v>130</v>
      </c>
      <c r="D267" s="5">
        <f t="shared" ref="D267:D289" si="18">ROUND(C267*$D$325/$C$325,0)</f>
        <v>340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2.75" hidden="1" customHeight="1" outlineLevel="2" x14ac:dyDescent="0.35">
      <c r="A268" s="3" t="s">
        <v>122</v>
      </c>
      <c r="B268" s="3" t="s">
        <v>55</v>
      </c>
      <c r="C268" s="5">
        <v>5</v>
      </c>
      <c r="D268" s="5">
        <f t="shared" si="18"/>
        <v>13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2.75" hidden="1" customHeight="1" outlineLevel="2" x14ac:dyDescent="0.35">
      <c r="A269" s="3" t="s">
        <v>122</v>
      </c>
      <c r="B269" s="3" t="s">
        <v>52</v>
      </c>
      <c r="C269" s="5">
        <v>40</v>
      </c>
      <c r="D269" s="5">
        <f t="shared" si="18"/>
        <v>105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2.75" hidden="1" customHeight="1" outlineLevel="2" x14ac:dyDescent="0.35">
      <c r="A270" s="3" t="s">
        <v>122</v>
      </c>
      <c r="B270" s="3" t="s">
        <v>62</v>
      </c>
      <c r="C270" s="5">
        <v>8</v>
      </c>
      <c r="D270" s="5">
        <f t="shared" si="18"/>
        <v>21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2.75" hidden="1" customHeight="1" outlineLevel="2" x14ac:dyDescent="0.35">
      <c r="A271" s="3" t="s">
        <v>122</v>
      </c>
      <c r="B271" s="3" t="s">
        <v>71</v>
      </c>
      <c r="C271" s="5">
        <v>1</v>
      </c>
      <c r="D271" s="5">
        <f t="shared" si="18"/>
        <v>3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2.75" hidden="1" customHeight="1" outlineLevel="2" x14ac:dyDescent="0.35">
      <c r="A272" s="3" t="s">
        <v>122</v>
      </c>
      <c r="B272" s="3" t="s">
        <v>49</v>
      </c>
      <c r="C272" s="5">
        <v>25</v>
      </c>
      <c r="D272" s="5">
        <f t="shared" si="18"/>
        <v>65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2.75" hidden="1" customHeight="1" outlineLevel="2" x14ac:dyDescent="0.35">
      <c r="A273" s="3" t="s">
        <v>122</v>
      </c>
      <c r="B273" s="3" t="s">
        <v>61</v>
      </c>
      <c r="C273" s="5">
        <v>2</v>
      </c>
      <c r="D273" s="5">
        <f t="shared" si="18"/>
        <v>5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2.75" hidden="1" customHeight="1" outlineLevel="2" x14ac:dyDescent="0.35">
      <c r="A274" s="3" t="s">
        <v>122</v>
      </c>
      <c r="B274" s="3" t="s">
        <v>56</v>
      </c>
      <c r="C274" s="5">
        <v>3</v>
      </c>
      <c r="D274" s="5">
        <f t="shared" si="18"/>
        <v>8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2.75" hidden="1" customHeight="1" outlineLevel="2" x14ac:dyDescent="0.35">
      <c r="A275" s="3" t="s">
        <v>122</v>
      </c>
      <c r="B275" s="3" t="s">
        <v>66</v>
      </c>
      <c r="C275" s="5">
        <v>1</v>
      </c>
      <c r="D275" s="5">
        <f t="shared" si="18"/>
        <v>3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2.75" hidden="1" customHeight="1" outlineLevel="2" x14ac:dyDescent="0.35">
      <c r="A276" s="3" t="s">
        <v>122</v>
      </c>
      <c r="B276" s="3" t="s">
        <v>67</v>
      </c>
      <c r="C276" s="5">
        <v>1</v>
      </c>
      <c r="D276" s="5">
        <f t="shared" si="18"/>
        <v>3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2.75" hidden="1" customHeight="1" outlineLevel="2" x14ac:dyDescent="0.35">
      <c r="A277" s="3" t="s">
        <v>122</v>
      </c>
      <c r="B277" s="3" t="s">
        <v>51</v>
      </c>
      <c r="C277" s="5">
        <v>29</v>
      </c>
      <c r="D277" s="5">
        <f t="shared" si="18"/>
        <v>76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2.75" hidden="1" customHeight="1" outlineLevel="2" x14ac:dyDescent="0.35">
      <c r="A278" s="3" t="s">
        <v>122</v>
      </c>
      <c r="B278" s="3" t="s">
        <v>59</v>
      </c>
      <c r="C278" s="5">
        <v>7</v>
      </c>
      <c r="D278" s="5">
        <f t="shared" si="18"/>
        <v>18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2.75" hidden="1" customHeight="1" outlineLevel="2" x14ac:dyDescent="0.35">
      <c r="A279" s="3" t="s">
        <v>122</v>
      </c>
      <c r="B279" s="3" t="s">
        <v>70</v>
      </c>
      <c r="C279" s="5">
        <v>1</v>
      </c>
      <c r="D279" s="5">
        <f t="shared" si="18"/>
        <v>3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2.75" hidden="1" customHeight="1" outlineLevel="2" x14ac:dyDescent="0.35">
      <c r="A280" s="3" t="s">
        <v>122</v>
      </c>
      <c r="B280" s="3" t="s">
        <v>60</v>
      </c>
      <c r="C280" s="5">
        <v>4</v>
      </c>
      <c r="D280" s="5">
        <f t="shared" si="18"/>
        <v>10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2.75" hidden="1" customHeight="1" outlineLevel="2" x14ac:dyDescent="0.35">
      <c r="A281" s="3" t="s">
        <v>122</v>
      </c>
      <c r="B281" s="3" t="s">
        <v>50</v>
      </c>
      <c r="C281" s="5">
        <v>38</v>
      </c>
      <c r="D281" s="5">
        <f t="shared" si="18"/>
        <v>100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2.75" hidden="1" customHeight="1" outlineLevel="2" x14ac:dyDescent="0.35">
      <c r="A282" s="3" t="s">
        <v>122</v>
      </c>
      <c r="B282" s="3" t="s">
        <v>46</v>
      </c>
      <c r="C282" s="5">
        <v>29</v>
      </c>
      <c r="D282" s="5">
        <f t="shared" si="18"/>
        <v>76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2.75" hidden="1" customHeight="1" outlineLevel="2" x14ac:dyDescent="0.35">
      <c r="A283" s="3" t="s">
        <v>122</v>
      </c>
      <c r="B283" s="3" t="s">
        <v>54</v>
      </c>
      <c r="C283" s="5">
        <v>4</v>
      </c>
      <c r="D283" s="5">
        <f t="shared" si="18"/>
        <v>10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2.75" hidden="1" customHeight="1" outlineLevel="2" x14ac:dyDescent="0.35">
      <c r="A284" s="3" t="s">
        <v>122</v>
      </c>
      <c r="B284" s="3" t="s">
        <v>48</v>
      </c>
      <c r="C284" s="5">
        <v>16</v>
      </c>
      <c r="D284" s="5">
        <f t="shared" si="18"/>
        <v>42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2.75" hidden="1" customHeight="1" outlineLevel="2" x14ac:dyDescent="0.35">
      <c r="A285" s="3" t="s">
        <v>122</v>
      </c>
      <c r="B285" s="3" t="s">
        <v>45</v>
      </c>
      <c r="C285" s="5">
        <v>56</v>
      </c>
      <c r="D285" s="5">
        <f t="shared" si="18"/>
        <v>147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2.75" hidden="1" customHeight="1" outlineLevel="2" x14ac:dyDescent="0.35">
      <c r="A286" s="3" t="s">
        <v>122</v>
      </c>
      <c r="B286" s="3" t="s">
        <v>58</v>
      </c>
      <c r="C286" s="5">
        <v>1</v>
      </c>
      <c r="D286" s="5">
        <f t="shared" si="18"/>
        <v>3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2.75" hidden="1" customHeight="1" outlineLevel="2" x14ac:dyDescent="0.35">
      <c r="A287" s="3" t="s">
        <v>122</v>
      </c>
      <c r="B287" s="3" t="s">
        <v>47</v>
      </c>
      <c r="C287" s="5">
        <v>76</v>
      </c>
      <c r="D287" s="5">
        <f t="shared" si="18"/>
        <v>199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2.75" hidden="1" customHeight="1" outlineLevel="2" x14ac:dyDescent="0.35">
      <c r="A288" s="3" t="s">
        <v>122</v>
      </c>
      <c r="B288" s="3" t="s">
        <v>53</v>
      </c>
      <c r="C288" s="5">
        <v>47</v>
      </c>
      <c r="D288" s="5">
        <f t="shared" si="18"/>
        <v>123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2.75" hidden="1" customHeight="1" outlineLevel="2" x14ac:dyDescent="0.35">
      <c r="A289" s="3" t="s">
        <v>122</v>
      </c>
      <c r="B289" s="3" t="s">
        <v>57</v>
      </c>
      <c r="C289" s="5">
        <v>1</v>
      </c>
      <c r="D289" s="5">
        <f t="shared" si="18"/>
        <v>3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2.75" hidden="1" customHeight="1" outlineLevel="1" x14ac:dyDescent="0.35">
      <c r="A290" s="10" t="s">
        <v>123</v>
      </c>
      <c r="B290" s="3"/>
      <c r="C290" s="5"/>
      <c r="D290" s="5">
        <f>SUBTOTAL(9,D267:D289)</f>
        <v>1376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2.75" hidden="1" customHeight="1" outlineLevel="2" x14ac:dyDescent="0.35">
      <c r="A291" s="3" t="s">
        <v>124</v>
      </c>
      <c r="B291" s="3" t="s">
        <v>33</v>
      </c>
      <c r="C291" s="5">
        <v>2</v>
      </c>
      <c r="D291" s="5">
        <f t="shared" ref="D291:D302" si="19">ROUND(C291*$D$325/$C$325,0)</f>
        <v>5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2.75" hidden="1" customHeight="1" outlineLevel="2" x14ac:dyDescent="0.35">
      <c r="A292" s="3" t="s">
        <v>124</v>
      </c>
      <c r="B292" s="3" t="s">
        <v>55</v>
      </c>
      <c r="C292" s="5">
        <v>2</v>
      </c>
      <c r="D292" s="5">
        <f t="shared" si="19"/>
        <v>5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2.75" hidden="1" customHeight="1" outlineLevel="2" x14ac:dyDescent="0.35">
      <c r="A293" s="3" t="s">
        <v>124</v>
      </c>
      <c r="B293" s="3" t="s">
        <v>52</v>
      </c>
      <c r="C293" s="5">
        <v>4</v>
      </c>
      <c r="D293" s="5">
        <f t="shared" si="19"/>
        <v>10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2.75" hidden="1" customHeight="1" outlineLevel="2" x14ac:dyDescent="0.35">
      <c r="A294" s="3" t="s">
        <v>124</v>
      </c>
      <c r="B294" s="3" t="s">
        <v>49</v>
      </c>
      <c r="C294" s="5">
        <v>1</v>
      </c>
      <c r="D294" s="5">
        <f t="shared" si="19"/>
        <v>3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2.75" hidden="1" customHeight="1" outlineLevel="2" x14ac:dyDescent="0.35">
      <c r="A295" s="3" t="s">
        <v>124</v>
      </c>
      <c r="B295" s="3" t="s">
        <v>56</v>
      </c>
      <c r="C295" s="5">
        <v>3</v>
      </c>
      <c r="D295" s="5">
        <f t="shared" si="19"/>
        <v>8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2.75" hidden="1" customHeight="1" outlineLevel="2" x14ac:dyDescent="0.35">
      <c r="A296" s="3" t="s">
        <v>124</v>
      </c>
      <c r="B296" s="3" t="s">
        <v>50</v>
      </c>
      <c r="C296" s="5">
        <v>1</v>
      </c>
      <c r="D296" s="5">
        <f t="shared" si="19"/>
        <v>3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2.75" hidden="1" customHeight="1" outlineLevel="2" x14ac:dyDescent="0.35">
      <c r="A297" s="3" t="s">
        <v>124</v>
      </c>
      <c r="B297" s="3" t="s">
        <v>46</v>
      </c>
      <c r="C297" s="5">
        <v>3</v>
      </c>
      <c r="D297" s="5">
        <f t="shared" si="19"/>
        <v>8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2.75" hidden="1" customHeight="1" outlineLevel="2" x14ac:dyDescent="0.35">
      <c r="A298" s="3" t="s">
        <v>124</v>
      </c>
      <c r="B298" s="3" t="s">
        <v>54</v>
      </c>
      <c r="C298" s="5">
        <v>6</v>
      </c>
      <c r="D298" s="5">
        <f t="shared" si="19"/>
        <v>16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2.75" hidden="1" customHeight="1" outlineLevel="2" x14ac:dyDescent="0.35">
      <c r="A299" s="3" t="s">
        <v>124</v>
      </c>
      <c r="B299" s="3" t="s">
        <v>48</v>
      </c>
      <c r="C299" s="5">
        <v>1</v>
      </c>
      <c r="D299" s="5">
        <f t="shared" si="19"/>
        <v>3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2.75" hidden="1" customHeight="1" outlineLevel="2" x14ac:dyDescent="0.35">
      <c r="A300" s="3" t="s">
        <v>124</v>
      </c>
      <c r="B300" s="3" t="s">
        <v>63</v>
      </c>
      <c r="C300" s="5">
        <v>2</v>
      </c>
      <c r="D300" s="5">
        <f t="shared" si="19"/>
        <v>5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2.75" hidden="1" customHeight="1" outlineLevel="2" x14ac:dyDescent="0.35">
      <c r="A301" s="3" t="s">
        <v>124</v>
      </c>
      <c r="B301" s="3" t="s">
        <v>47</v>
      </c>
      <c r="C301" s="5">
        <v>1</v>
      </c>
      <c r="D301" s="5">
        <f t="shared" si="19"/>
        <v>3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2.75" hidden="1" customHeight="1" outlineLevel="2" x14ac:dyDescent="0.35">
      <c r="A302" s="3" t="s">
        <v>124</v>
      </c>
      <c r="B302" s="3" t="s">
        <v>53</v>
      </c>
      <c r="C302" s="5">
        <v>1</v>
      </c>
      <c r="D302" s="5">
        <f t="shared" si="19"/>
        <v>3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2.75" hidden="1" customHeight="1" outlineLevel="1" x14ac:dyDescent="0.35">
      <c r="A303" s="10" t="s">
        <v>125</v>
      </c>
      <c r="B303" s="3"/>
      <c r="C303" s="5"/>
      <c r="D303" s="5">
        <f>SUBTOTAL(9,D291:D302)</f>
        <v>72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2.75" hidden="1" customHeight="1" outlineLevel="2" x14ac:dyDescent="0.35">
      <c r="A304" s="3" t="s">
        <v>126</v>
      </c>
      <c r="B304" s="3" t="s">
        <v>62</v>
      </c>
      <c r="C304" s="5">
        <v>2</v>
      </c>
      <c r="D304" s="5">
        <f t="shared" ref="D304:D309" si="20">ROUND(C304*$D$325/$C$325,0)</f>
        <v>5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2.75" hidden="1" customHeight="1" outlineLevel="2" x14ac:dyDescent="0.35">
      <c r="A305" s="3" t="s">
        <v>126</v>
      </c>
      <c r="B305" s="3" t="s">
        <v>49</v>
      </c>
      <c r="C305" s="5">
        <v>2</v>
      </c>
      <c r="D305" s="5">
        <f t="shared" si="20"/>
        <v>5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2.75" hidden="1" customHeight="1" outlineLevel="2" x14ac:dyDescent="0.35">
      <c r="A306" s="3" t="s">
        <v>126</v>
      </c>
      <c r="B306" s="3" t="s">
        <v>56</v>
      </c>
      <c r="C306" s="5">
        <v>2</v>
      </c>
      <c r="D306" s="5">
        <f t="shared" si="20"/>
        <v>5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2.75" hidden="1" customHeight="1" outlineLevel="2" x14ac:dyDescent="0.35">
      <c r="A307" s="3" t="s">
        <v>126</v>
      </c>
      <c r="B307" s="3" t="s">
        <v>46</v>
      </c>
      <c r="C307" s="5">
        <v>5</v>
      </c>
      <c r="D307" s="5">
        <f t="shared" si="20"/>
        <v>13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2.75" hidden="1" customHeight="1" outlineLevel="2" x14ac:dyDescent="0.35">
      <c r="A308" s="3" t="s">
        <v>126</v>
      </c>
      <c r="B308" s="3" t="s">
        <v>54</v>
      </c>
      <c r="C308" s="5">
        <v>4</v>
      </c>
      <c r="D308" s="5">
        <f t="shared" si="20"/>
        <v>10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2.75" hidden="1" customHeight="1" outlineLevel="2" x14ac:dyDescent="0.35">
      <c r="A309" s="3" t="s">
        <v>126</v>
      </c>
      <c r="B309" s="3" t="s">
        <v>45</v>
      </c>
      <c r="C309" s="5">
        <v>1</v>
      </c>
      <c r="D309" s="5">
        <f t="shared" si="20"/>
        <v>3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2.75" hidden="1" customHeight="1" outlineLevel="1" x14ac:dyDescent="0.35">
      <c r="A310" s="10" t="s">
        <v>127</v>
      </c>
      <c r="B310" s="3"/>
      <c r="C310" s="5"/>
      <c r="D310" s="5">
        <f>SUBTOTAL(9,D304:D309)</f>
        <v>41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2.75" hidden="1" customHeight="1" outlineLevel="2" x14ac:dyDescent="0.35">
      <c r="A311" s="3" t="s">
        <v>128</v>
      </c>
      <c r="B311" s="3" t="s">
        <v>33</v>
      </c>
      <c r="C311" s="5">
        <v>12</v>
      </c>
      <c r="D311" s="5">
        <f t="shared" ref="D311:D322" si="21">ROUND(C311*$D$325/$C$325,0)</f>
        <v>31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2.75" hidden="1" customHeight="1" outlineLevel="2" x14ac:dyDescent="0.35">
      <c r="A312" s="3" t="s">
        <v>128</v>
      </c>
      <c r="B312" s="3" t="s">
        <v>55</v>
      </c>
      <c r="C312" s="5">
        <v>4</v>
      </c>
      <c r="D312" s="5">
        <f t="shared" si="21"/>
        <v>10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2.75" hidden="1" customHeight="1" outlineLevel="2" x14ac:dyDescent="0.35">
      <c r="A313" s="3" t="s">
        <v>128</v>
      </c>
      <c r="B313" s="3" t="s">
        <v>52</v>
      </c>
      <c r="C313" s="5">
        <v>1</v>
      </c>
      <c r="D313" s="5">
        <f t="shared" si="21"/>
        <v>3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2.75" hidden="1" customHeight="1" outlineLevel="2" x14ac:dyDescent="0.35">
      <c r="A314" s="3" t="s">
        <v>128</v>
      </c>
      <c r="B314" s="3" t="s">
        <v>49</v>
      </c>
      <c r="C314" s="5">
        <v>4</v>
      </c>
      <c r="D314" s="5">
        <f t="shared" si="21"/>
        <v>10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2.75" hidden="1" customHeight="1" outlineLevel="2" x14ac:dyDescent="0.35">
      <c r="A315" s="3" t="s">
        <v>128</v>
      </c>
      <c r="B315" s="3" t="s">
        <v>61</v>
      </c>
      <c r="C315" s="5">
        <v>1</v>
      </c>
      <c r="D315" s="5">
        <f t="shared" si="21"/>
        <v>3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2.75" hidden="1" customHeight="1" outlineLevel="2" x14ac:dyDescent="0.35">
      <c r="A316" s="3" t="s">
        <v>128</v>
      </c>
      <c r="B316" s="3" t="s">
        <v>56</v>
      </c>
      <c r="C316" s="5">
        <v>3</v>
      </c>
      <c r="D316" s="5">
        <f t="shared" si="21"/>
        <v>8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2.75" hidden="1" customHeight="1" outlineLevel="2" x14ac:dyDescent="0.35">
      <c r="A317" s="3" t="s">
        <v>128</v>
      </c>
      <c r="B317" s="3" t="s">
        <v>66</v>
      </c>
      <c r="C317" s="5">
        <v>1</v>
      </c>
      <c r="D317" s="5">
        <f t="shared" si="21"/>
        <v>3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2.75" hidden="1" customHeight="1" outlineLevel="2" x14ac:dyDescent="0.35">
      <c r="A318" s="3" t="s">
        <v>128</v>
      </c>
      <c r="B318" s="3" t="s">
        <v>51</v>
      </c>
      <c r="C318" s="5">
        <v>4</v>
      </c>
      <c r="D318" s="5">
        <f t="shared" si="21"/>
        <v>10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2.75" hidden="1" customHeight="1" outlineLevel="2" x14ac:dyDescent="0.35">
      <c r="A319" s="3" t="s">
        <v>128</v>
      </c>
      <c r="B319" s="3" t="s">
        <v>46</v>
      </c>
      <c r="C319" s="5">
        <v>8</v>
      </c>
      <c r="D319" s="5">
        <f t="shared" si="21"/>
        <v>21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2.75" hidden="1" customHeight="1" outlineLevel="2" x14ac:dyDescent="0.35">
      <c r="A320" s="3" t="s">
        <v>128</v>
      </c>
      <c r="B320" s="3" t="s">
        <v>54</v>
      </c>
      <c r="C320" s="5">
        <v>2</v>
      </c>
      <c r="D320" s="5">
        <f t="shared" si="21"/>
        <v>5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2.75" hidden="1" customHeight="1" outlineLevel="2" x14ac:dyDescent="0.35">
      <c r="A321" s="3" t="s">
        <v>128</v>
      </c>
      <c r="B321" s="3" t="s">
        <v>48</v>
      </c>
      <c r="C321" s="5">
        <v>1</v>
      </c>
      <c r="D321" s="5">
        <f t="shared" si="21"/>
        <v>3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2.75" hidden="1" customHeight="1" outlineLevel="2" x14ac:dyDescent="0.35">
      <c r="A322" s="3" t="s">
        <v>128</v>
      </c>
      <c r="B322" s="3" t="s">
        <v>47</v>
      </c>
      <c r="C322" s="5">
        <v>2</v>
      </c>
      <c r="D322" s="5">
        <f t="shared" si="21"/>
        <v>5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2.75" hidden="1" customHeight="1" outlineLevel="1" x14ac:dyDescent="0.35">
      <c r="A323" s="11" t="s">
        <v>129</v>
      </c>
      <c r="B323" s="12"/>
      <c r="C323" s="13"/>
      <c r="D323" s="13">
        <f>SUBTOTAL(9,D311:D322)</f>
        <v>112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2.75" customHeight="1" collapsed="1" x14ac:dyDescent="0.35">
      <c r="A324" s="11" t="s">
        <v>130</v>
      </c>
      <c r="B324" s="12"/>
      <c r="C324" s="13"/>
      <c r="D324" s="13">
        <f>SUBTOTAL(9,D2:D322)</f>
        <v>7240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2.75" customHeight="1" x14ac:dyDescent="0.35">
      <c r="A325" s="2"/>
      <c r="B325" s="6" t="s">
        <v>42</v>
      </c>
      <c r="C325" s="6">
        <f>SUM(C2:C322)</f>
        <v>2756</v>
      </c>
      <c r="D325" s="6">
        <f>'Total de rubros por Provincia'!D177</f>
        <v>7217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2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2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2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2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2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2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2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2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2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2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2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2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2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2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2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2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2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2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2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2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2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2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2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2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2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2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2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2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2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2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2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2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2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2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2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2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2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2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2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2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2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2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2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2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2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2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2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2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2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2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2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2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2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2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2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2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2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2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2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2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2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2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2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2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2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2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2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2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2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2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2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2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2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2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2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2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2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2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2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2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2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2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2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2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2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2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2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2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2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2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2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2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2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2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2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2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2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2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2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2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2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2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2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2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2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2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2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2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2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2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2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2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2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2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2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2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2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2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2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2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2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2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2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2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2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2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2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2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2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2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2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2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2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2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2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2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2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2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2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2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2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2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2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2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2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2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2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2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2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2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2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2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2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2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2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2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2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2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2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2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2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2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2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2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2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2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2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2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2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2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2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2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2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2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2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2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2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2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2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2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2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2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2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2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2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2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2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2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2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2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2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2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2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2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2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2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2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2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2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2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5.75" customHeight="1" x14ac:dyDescent="0.25"/>
    <row r="527" spans="1:24" ht="15.75" customHeight="1" x14ac:dyDescent="0.25"/>
    <row r="528" spans="1:24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00"/>
  <sheetViews>
    <sheetView showGridLines="0" zoomScale="112" workbookViewId="0">
      <selection activeCell="B24" sqref="B24"/>
    </sheetView>
  </sheetViews>
  <sheetFormatPr baseColWidth="10" defaultColWidth="14.44140625" defaultRowHeight="15" customHeight="1" x14ac:dyDescent="0.25"/>
  <cols>
    <col min="1" max="1" width="39.44140625" customWidth="1"/>
    <col min="2" max="2" width="19.33203125" customWidth="1"/>
    <col min="3" max="3" width="13" customWidth="1"/>
    <col min="4" max="5" width="18.88671875" customWidth="1"/>
    <col min="6" max="6" width="16.33203125" customWidth="1"/>
    <col min="7" max="7" width="10.44140625" customWidth="1"/>
    <col min="8" max="8" width="29.21875" customWidth="1"/>
    <col min="9" max="9" width="10.77734375" customWidth="1"/>
    <col min="10" max="10" width="12.109375" customWidth="1"/>
    <col min="11" max="11" width="15.44140625" customWidth="1"/>
    <col min="12" max="18" width="8.33203125" customWidth="1"/>
    <col min="19" max="19" width="9.109375" customWidth="1"/>
    <col min="20" max="20" width="7.77734375" customWidth="1"/>
    <col min="21" max="21" width="9.109375" customWidth="1"/>
  </cols>
  <sheetData>
    <row r="1" spans="1:21" ht="12.75" customHeight="1" x14ac:dyDescent="0.25">
      <c r="A1" s="14" t="s">
        <v>0</v>
      </c>
      <c r="B1" s="15"/>
    </row>
    <row r="2" spans="1:21" ht="19.95" customHeight="1" x14ac:dyDescent="0.4">
      <c r="A2" s="16" t="s">
        <v>1</v>
      </c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18" customHeight="1" x14ac:dyDescent="0.3">
      <c r="A3" s="19" t="s">
        <v>2</v>
      </c>
      <c r="B3" s="19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4" spans="1:21" ht="18" customHeight="1" x14ac:dyDescent="0.3">
      <c r="A4" s="19"/>
      <c r="B4" s="19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</row>
    <row r="5" spans="1:21" ht="13.05" customHeight="1" x14ac:dyDescent="0.25">
      <c r="A5" s="190" t="s">
        <v>3</v>
      </c>
      <c r="B5" s="20">
        <v>79000000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</row>
    <row r="6" spans="1:21" ht="12.75" customHeight="1" x14ac:dyDescent="0.25">
      <c r="A6" s="21"/>
      <c r="B6" s="2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</row>
    <row r="7" spans="1:21" ht="12.75" customHeight="1" x14ac:dyDescent="0.25">
      <c r="A7" s="191" t="s">
        <v>4</v>
      </c>
      <c r="B7" s="237" t="s">
        <v>5</v>
      </c>
      <c r="C7" s="238"/>
      <c r="D7" s="238"/>
      <c r="E7" s="238"/>
      <c r="F7" s="238"/>
      <c r="G7" s="238"/>
      <c r="H7" s="238"/>
      <c r="I7" s="239"/>
      <c r="J7" s="23" t="s">
        <v>6</v>
      </c>
      <c r="K7" s="193" t="s">
        <v>7</v>
      </c>
    </row>
    <row r="8" spans="1:21" ht="12.75" customHeight="1" x14ac:dyDescent="0.25">
      <c r="A8" s="194" t="s">
        <v>8</v>
      </c>
      <c r="B8" s="24" t="s">
        <v>9</v>
      </c>
      <c r="C8" s="192">
        <v>1</v>
      </c>
      <c r="D8" s="25">
        <v>2</v>
      </c>
      <c r="E8" s="25">
        <v>3</v>
      </c>
      <c r="F8" s="25">
        <v>4</v>
      </c>
      <c r="G8" s="25">
        <v>5</v>
      </c>
      <c r="H8" s="25">
        <v>6</v>
      </c>
      <c r="I8" s="26">
        <v>7</v>
      </c>
      <c r="J8" s="195" t="s">
        <v>10</v>
      </c>
      <c r="K8" s="196" t="s">
        <v>10</v>
      </c>
    </row>
    <row r="9" spans="1:21" ht="12.75" customHeight="1" x14ac:dyDescent="0.25">
      <c r="A9" s="197" t="s">
        <v>11</v>
      </c>
      <c r="B9" s="27">
        <f>Ingresos!B18</f>
        <v>79000000</v>
      </c>
      <c r="C9" s="27">
        <f>Ingresos!C18</f>
        <v>0</v>
      </c>
      <c r="D9" s="27">
        <f>Ingresos!D18</f>
        <v>0</v>
      </c>
      <c r="E9" s="27">
        <f>Ingresos!E18</f>
        <v>0</v>
      </c>
      <c r="F9" s="27">
        <f>Ingresos!F18</f>
        <v>0</v>
      </c>
      <c r="G9" s="27">
        <f>Ingresos!G18</f>
        <v>0</v>
      </c>
      <c r="H9" s="27">
        <f>Ingresos!H18</f>
        <v>0</v>
      </c>
      <c r="I9" s="27">
        <f>Ingresos!I18</f>
        <v>0</v>
      </c>
      <c r="J9" s="27">
        <f>Ingresos!J18</f>
        <v>145317000</v>
      </c>
      <c r="K9" s="27">
        <f>Ingresos!K18</f>
        <v>524214900</v>
      </c>
    </row>
    <row r="10" spans="1:21" ht="12.75" customHeight="1" x14ac:dyDescent="0.25">
      <c r="A10" s="198" t="s">
        <v>12</v>
      </c>
      <c r="B10" s="28">
        <f>Egresos!B21</f>
        <v>36641318.700000003</v>
      </c>
      <c r="C10" s="28">
        <f>Egresos!C21</f>
        <v>5581318.6999999993</v>
      </c>
      <c r="D10" s="28">
        <f>Egresos!D21</f>
        <v>5581318.6999999993</v>
      </c>
      <c r="E10" s="28">
        <f>Egresos!E21</f>
        <v>5581318.6999999993</v>
      </c>
      <c r="F10" s="28">
        <f>Egresos!F21</f>
        <v>5581318.6999999993</v>
      </c>
      <c r="G10" s="28">
        <f>Egresos!G21</f>
        <v>5581318.6999999993</v>
      </c>
      <c r="H10" s="28">
        <f>Egresos!H21</f>
        <v>5731318.6999999993</v>
      </c>
      <c r="I10" s="28">
        <f>Egresos!I21</f>
        <v>7132507.9999999991</v>
      </c>
      <c r="J10" s="28">
        <f>Egresos!J21</f>
        <v>175011115.19999999</v>
      </c>
      <c r="K10" s="28">
        <f>Egresos!K21</f>
        <v>423429058.46399999</v>
      </c>
    </row>
    <row r="11" spans="1:21" ht="12.75" customHeight="1" x14ac:dyDescent="0.25">
      <c r="A11" s="29" t="s">
        <v>13</v>
      </c>
      <c r="B11" s="30">
        <f t="shared" ref="B11:K11" si="0">B9-B10</f>
        <v>42358681.299999997</v>
      </c>
      <c r="C11" s="31">
        <f t="shared" si="0"/>
        <v>-5581318.6999999993</v>
      </c>
      <c r="D11" s="31">
        <f t="shared" si="0"/>
        <v>-5581318.6999999993</v>
      </c>
      <c r="E11" s="31">
        <f t="shared" si="0"/>
        <v>-5581318.6999999993</v>
      </c>
      <c r="F11" s="31">
        <f t="shared" si="0"/>
        <v>-5581318.6999999993</v>
      </c>
      <c r="G11" s="31">
        <f t="shared" si="0"/>
        <v>-5581318.6999999993</v>
      </c>
      <c r="H11" s="31">
        <f t="shared" si="0"/>
        <v>-5731318.6999999993</v>
      </c>
      <c r="I11" s="31">
        <f t="shared" si="0"/>
        <v>-7132507.9999999991</v>
      </c>
      <c r="J11" s="31">
        <f t="shared" si="0"/>
        <v>-29694115.199999988</v>
      </c>
      <c r="K11" s="31">
        <f t="shared" si="0"/>
        <v>100785841.53600001</v>
      </c>
    </row>
    <row r="12" spans="1:21" ht="12.75" customHeight="1" x14ac:dyDescent="0.25">
      <c r="A12" s="197" t="s">
        <v>14</v>
      </c>
      <c r="B12" s="27">
        <f t="shared" ref="B12:K12" si="1">B9*-3.8%</f>
        <v>-3002000</v>
      </c>
      <c r="C12" s="27">
        <f t="shared" si="1"/>
        <v>0</v>
      </c>
      <c r="D12" s="27">
        <f t="shared" si="1"/>
        <v>0</v>
      </c>
      <c r="E12" s="27">
        <f t="shared" si="1"/>
        <v>0</v>
      </c>
      <c r="F12" s="27">
        <f t="shared" si="1"/>
        <v>0</v>
      </c>
      <c r="G12" s="27">
        <f t="shared" si="1"/>
        <v>0</v>
      </c>
      <c r="H12" s="27">
        <f t="shared" si="1"/>
        <v>0</v>
      </c>
      <c r="I12" s="27">
        <f t="shared" si="1"/>
        <v>0</v>
      </c>
      <c r="J12" s="27">
        <f t="shared" si="1"/>
        <v>-5522046</v>
      </c>
      <c r="K12" s="27">
        <f t="shared" si="1"/>
        <v>-19920166.199999999</v>
      </c>
    </row>
    <row r="13" spans="1:21" ht="12.75" customHeight="1" x14ac:dyDescent="0.25">
      <c r="A13" s="197" t="s">
        <v>15</v>
      </c>
      <c r="B13" s="27">
        <f t="shared" ref="B13:K13" si="2">IF((B9-B10)&lt;0,(B9-B10)*0.016,(B9-B10)*-0.016)</f>
        <v>-677738.90079999994</v>
      </c>
      <c r="C13" s="27">
        <f t="shared" si="2"/>
        <v>-89301.099199999997</v>
      </c>
      <c r="D13" s="27">
        <f t="shared" si="2"/>
        <v>-89301.099199999997</v>
      </c>
      <c r="E13" s="27">
        <f t="shared" si="2"/>
        <v>-89301.099199999997</v>
      </c>
      <c r="F13" s="27">
        <f t="shared" si="2"/>
        <v>-89301.099199999997</v>
      </c>
      <c r="G13" s="27">
        <f t="shared" si="2"/>
        <v>-89301.099199999997</v>
      </c>
      <c r="H13" s="27">
        <f t="shared" si="2"/>
        <v>-91701.099199999997</v>
      </c>
      <c r="I13" s="27">
        <f t="shared" si="2"/>
        <v>-114120.12799999998</v>
      </c>
      <c r="J13" s="27">
        <f t="shared" si="2"/>
        <v>-475105.84319999983</v>
      </c>
      <c r="K13" s="27">
        <f t="shared" si="2"/>
        <v>-1612573.4645760003</v>
      </c>
    </row>
    <row r="14" spans="1:21" ht="12.75" customHeight="1" x14ac:dyDescent="0.25">
      <c r="A14" s="29" t="s">
        <v>16</v>
      </c>
      <c r="B14" s="30">
        <f t="shared" ref="B14:K14" si="3">IF(B11&lt;0,B11+B12+B13,B11-B12-B13)</f>
        <v>46038420.200799994</v>
      </c>
      <c r="C14" s="31">
        <f t="shared" si="3"/>
        <v>-5670619.7991999993</v>
      </c>
      <c r="D14" s="31">
        <f t="shared" si="3"/>
        <v>-5670619.7991999993</v>
      </c>
      <c r="E14" s="31">
        <f t="shared" si="3"/>
        <v>-5670619.7991999993</v>
      </c>
      <c r="F14" s="31">
        <f t="shared" si="3"/>
        <v>-5670619.7991999993</v>
      </c>
      <c r="G14" s="31">
        <f t="shared" si="3"/>
        <v>-5670619.7991999993</v>
      </c>
      <c r="H14" s="31">
        <f t="shared" si="3"/>
        <v>-5823019.7991999993</v>
      </c>
      <c r="I14" s="31">
        <f t="shared" si="3"/>
        <v>-7246628.1279999986</v>
      </c>
      <c r="J14" s="31">
        <f t="shared" si="3"/>
        <v>-35691267.043199986</v>
      </c>
      <c r="K14" s="32">
        <f t="shared" si="3"/>
        <v>122318581.20057602</v>
      </c>
    </row>
    <row r="15" spans="1:21" ht="12.75" customHeight="1" x14ac:dyDescent="0.25">
      <c r="A15" s="197" t="s">
        <v>17</v>
      </c>
      <c r="B15" s="27" t="s">
        <v>18</v>
      </c>
      <c r="C15" s="27">
        <f>Amortizaciones!C20</f>
        <v>1272833.333333333</v>
      </c>
      <c r="D15" s="27">
        <f t="shared" ref="D15:I15" si="4">C15</f>
        <v>1272833.333333333</v>
      </c>
      <c r="E15" s="27">
        <f t="shared" si="4"/>
        <v>1272833.333333333</v>
      </c>
      <c r="F15" s="27">
        <f t="shared" si="4"/>
        <v>1272833.333333333</v>
      </c>
      <c r="G15" s="27">
        <f t="shared" si="4"/>
        <v>1272833.333333333</v>
      </c>
      <c r="H15" s="27">
        <f t="shared" si="4"/>
        <v>1272833.333333333</v>
      </c>
      <c r="I15" s="27">
        <f t="shared" si="4"/>
        <v>1272833.333333333</v>
      </c>
      <c r="J15" s="27">
        <v>0</v>
      </c>
      <c r="K15" s="27">
        <v>0</v>
      </c>
    </row>
    <row r="16" spans="1:21" ht="12.75" customHeight="1" x14ac:dyDescent="0.25">
      <c r="A16" s="29" t="s">
        <v>19</v>
      </c>
      <c r="B16" s="30">
        <f>B14</f>
        <v>46038420.200799994</v>
      </c>
      <c r="C16" s="31">
        <f t="shared" ref="C16:K16" si="5">IF(C14&lt;0,C14+C15,C14-C15)</f>
        <v>-4397786.4658666663</v>
      </c>
      <c r="D16" s="31">
        <f t="shared" si="5"/>
        <v>-4397786.4658666663</v>
      </c>
      <c r="E16" s="31">
        <f t="shared" si="5"/>
        <v>-4397786.4658666663</v>
      </c>
      <c r="F16" s="31">
        <f t="shared" si="5"/>
        <v>-4397786.4658666663</v>
      </c>
      <c r="G16" s="31">
        <f t="shared" si="5"/>
        <v>-4397786.4658666663</v>
      </c>
      <c r="H16" s="31">
        <f t="shared" si="5"/>
        <v>-4550186.4658666663</v>
      </c>
      <c r="I16" s="31">
        <f t="shared" si="5"/>
        <v>-5973794.7946666656</v>
      </c>
      <c r="J16" s="31">
        <f t="shared" si="5"/>
        <v>-35691267.043199986</v>
      </c>
      <c r="K16" s="32">
        <f t="shared" si="5"/>
        <v>122318581.20057602</v>
      </c>
    </row>
    <row r="17" spans="1:21" ht="12.75" customHeight="1" x14ac:dyDescent="0.25">
      <c r="A17" s="197" t="s">
        <v>20</v>
      </c>
      <c r="B17" s="27" t="s">
        <v>18</v>
      </c>
      <c r="C17" s="27">
        <f t="shared" ref="C17:K17" si="6">IF(C16&lt;0,0,C16*35%)</f>
        <v>0</v>
      </c>
      <c r="D17" s="27">
        <f t="shared" si="6"/>
        <v>0</v>
      </c>
      <c r="E17" s="27">
        <f t="shared" si="6"/>
        <v>0</v>
      </c>
      <c r="F17" s="27">
        <f t="shared" si="6"/>
        <v>0</v>
      </c>
      <c r="G17" s="27">
        <f t="shared" si="6"/>
        <v>0</v>
      </c>
      <c r="H17" s="27">
        <f t="shared" si="6"/>
        <v>0</v>
      </c>
      <c r="I17" s="27">
        <f t="shared" si="6"/>
        <v>0</v>
      </c>
      <c r="J17" s="27">
        <f t="shared" si="6"/>
        <v>0</v>
      </c>
      <c r="K17" s="27">
        <f t="shared" si="6"/>
        <v>42811503.420201607</v>
      </c>
    </row>
    <row r="18" spans="1:21" ht="12.75" customHeight="1" x14ac:dyDescent="0.25">
      <c r="A18" s="33" t="s">
        <v>21</v>
      </c>
      <c r="B18" s="30">
        <f>B16</f>
        <v>46038420.200799994</v>
      </c>
      <c r="C18" s="31">
        <f t="shared" ref="C18:I18" si="7">B18+C16-C17</f>
        <v>41640633.734933332</v>
      </c>
      <c r="D18" s="31">
        <f t="shared" si="7"/>
        <v>37242847.269066662</v>
      </c>
      <c r="E18" s="31">
        <f t="shared" si="7"/>
        <v>32845060.803199995</v>
      </c>
      <c r="F18" s="31">
        <f t="shared" si="7"/>
        <v>28447274.337333329</v>
      </c>
      <c r="G18" s="31">
        <f t="shared" si="7"/>
        <v>24049487.871466663</v>
      </c>
      <c r="H18" s="31">
        <f t="shared" si="7"/>
        <v>19499301.405599996</v>
      </c>
      <c r="I18" s="31">
        <f t="shared" si="7"/>
        <v>13525506.61093333</v>
      </c>
      <c r="J18" s="31">
        <f>J16-J17</f>
        <v>-35691267.043199986</v>
      </c>
      <c r="K18" s="31">
        <f>K16-K17</f>
        <v>79507077.780374408</v>
      </c>
    </row>
    <row r="19" spans="1:21" ht="12.75" customHeight="1" x14ac:dyDescent="0.3">
      <c r="A19" s="34"/>
      <c r="B19" s="34"/>
      <c r="C19" s="35"/>
      <c r="D19" s="35"/>
      <c r="E19" s="35"/>
      <c r="F19" s="35"/>
      <c r="L19" s="35"/>
      <c r="M19" s="35"/>
      <c r="N19" s="35"/>
      <c r="O19" s="35"/>
      <c r="P19" s="35"/>
      <c r="Q19" s="35"/>
      <c r="R19" s="35"/>
      <c r="S19" s="35"/>
      <c r="T19" s="35"/>
      <c r="U19" s="35"/>
    </row>
    <row r="20" spans="1:21" ht="25.05" customHeight="1" x14ac:dyDescent="0.3">
      <c r="A20" s="190" t="s">
        <v>22</v>
      </c>
      <c r="B20" s="36">
        <f>SUM(I18:K18)</f>
        <v>57341317.348107755</v>
      </c>
      <c r="C20" s="240" t="s">
        <v>23</v>
      </c>
      <c r="D20" s="241"/>
      <c r="E20" s="37">
        <v>0.3</v>
      </c>
      <c r="F20" s="38"/>
      <c r="H20" s="39" t="s">
        <v>24</v>
      </c>
      <c r="I20" s="39" t="s">
        <v>25</v>
      </c>
      <c r="J20" s="39" t="s">
        <v>6</v>
      </c>
      <c r="K20" s="39" t="s">
        <v>7</v>
      </c>
      <c r="L20" s="40"/>
      <c r="M20" s="40"/>
      <c r="N20" s="40"/>
      <c r="O20" s="40"/>
      <c r="P20" s="40"/>
      <c r="Q20" s="40"/>
      <c r="R20" s="40"/>
      <c r="S20" s="40"/>
      <c r="T20" s="40"/>
      <c r="U20" s="40"/>
    </row>
    <row r="21" spans="1:21" ht="23.25" customHeight="1" x14ac:dyDescent="0.3">
      <c r="A21" s="34"/>
      <c r="B21" s="34"/>
      <c r="C21" s="40"/>
      <c r="D21" s="40"/>
      <c r="E21" s="40"/>
      <c r="F21" s="40"/>
      <c r="G21" s="39" t="s">
        <v>26</v>
      </c>
      <c r="H21" s="41">
        <f>-B5</f>
        <v>-79000000</v>
      </c>
      <c r="I21" s="41">
        <f>I18</f>
        <v>13525506.61093333</v>
      </c>
      <c r="J21" s="41">
        <f>J18</f>
        <v>-35691267.043199986</v>
      </c>
      <c r="K21" s="41">
        <f>K18</f>
        <v>79507077.780374408</v>
      </c>
      <c r="L21" s="42"/>
      <c r="M21" s="42"/>
      <c r="N21" s="42"/>
      <c r="O21" s="42"/>
      <c r="P21" s="42"/>
      <c r="Q21" s="42"/>
      <c r="R21" s="42"/>
      <c r="S21" s="42"/>
      <c r="T21" s="42"/>
      <c r="U21" s="42"/>
    </row>
    <row r="22" spans="1:21" ht="21" customHeight="1" x14ac:dyDescent="0.25">
      <c r="A22" s="43" t="s">
        <v>27</v>
      </c>
      <c r="B22" s="199">
        <f t="array" ref="B22">NPV(E20,H21:K21)</f>
        <v>-41173790.554710358</v>
      </c>
      <c r="C22" s="18"/>
      <c r="D22" s="18"/>
      <c r="E22" s="18"/>
      <c r="F22" s="18"/>
      <c r="G22" s="44"/>
      <c r="H22" s="18"/>
      <c r="I22" s="18"/>
      <c r="J22" s="18"/>
      <c r="K22" s="45"/>
      <c r="L22" s="18"/>
      <c r="M22" s="18"/>
      <c r="N22" s="18"/>
      <c r="O22" s="18"/>
      <c r="P22" s="18"/>
      <c r="Q22" s="18"/>
      <c r="R22" s="18"/>
      <c r="S22" s="18"/>
      <c r="T22" s="18"/>
      <c r="U22" s="18"/>
    </row>
    <row r="23" spans="1:21" ht="12.75" customHeight="1" x14ac:dyDescent="0.25">
      <c r="A23" s="18"/>
      <c r="B23" s="46"/>
      <c r="C23" s="18"/>
      <c r="D23" s="18"/>
      <c r="E23" s="18"/>
      <c r="F23" s="47"/>
      <c r="G23" s="47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</row>
    <row r="24" spans="1:21" ht="21.75" customHeight="1" x14ac:dyDescent="0.3">
      <c r="A24" s="190" t="s">
        <v>28</v>
      </c>
      <c r="B24" s="48">
        <f>IRR(H21:K21)</f>
        <v>-9.6326406997294223E-2</v>
      </c>
      <c r="C24" s="18"/>
      <c r="D24" s="18"/>
      <c r="E24" s="18"/>
      <c r="F24" s="18"/>
      <c r="G24" s="49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spans="1:21" ht="12.75" customHeight="1" x14ac:dyDescent="0.25"/>
    <row r="26" spans="1:21" ht="12.75" customHeight="1" x14ac:dyDescent="0.25">
      <c r="B26" s="50"/>
      <c r="C26" s="51"/>
    </row>
    <row r="27" spans="1:21" ht="12.75" customHeight="1" x14ac:dyDescent="0.25">
      <c r="B27" s="50"/>
    </row>
    <row r="28" spans="1:21" ht="12.75" customHeight="1" x14ac:dyDescent="0.25"/>
    <row r="29" spans="1:21" ht="12.75" customHeight="1" x14ac:dyDescent="0.25"/>
    <row r="30" spans="1:21" ht="12.75" customHeight="1" x14ac:dyDescent="0.25"/>
    <row r="31" spans="1:21" ht="12.75" customHeight="1" x14ac:dyDescent="0.25"/>
    <row r="32" spans="1:21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7:I7"/>
    <mergeCell ref="C20:D20"/>
  </mergeCells>
  <pageMargins left="0.75" right="0.75" top="1" bottom="1" header="0" footer="0"/>
  <pageSetup paperSize="9" scale="6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showGridLines="0" workbookViewId="0">
      <selection activeCell="L16" sqref="L16"/>
    </sheetView>
  </sheetViews>
  <sheetFormatPr baseColWidth="10" defaultColWidth="14.44140625" defaultRowHeight="15" customHeight="1" x14ac:dyDescent="0.25"/>
  <cols>
    <col min="1" max="1" width="23.6640625" customWidth="1"/>
    <col min="2" max="2" width="14.33203125" customWidth="1"/>
    <col min="3" max="3" width="18.33203125" customWidth="1"/>
    <col min="4" max="4" width="14" customWidth="1"/>
    <col min="5" max="5" width="18.33203125" customWidth="1"/>
    <col min="6" max="9" width="3.6640625" customWidth="1"/>
    <col min="10" max="11" width="19.109375" customWidth="1"/>
    <col min="12" max="12" width="16" customWidth="1"/>
    <col min="13" max="32" width="10.6640625" customWidth="1"/>
  </cols>
  <sheetData>
    <row r="1" spans="1:32" ht="19.95" customHeight="1" x14ac:dyDescent="0.4">
      <c r="A1" s="16" t="s">
        <v>131</v>
      </c>
      <c r="B1" s="52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18"/>
      <c r="AB1" s="18"/>
    </row>
    <row r="2" spans="1:32" ht="18" customHeight="1" x14ac:dyDescent="0.3">
      <c r="A2" s="54" t="s">
        <v>132</v>
      </c>
      <c r="B2" s="54"/>
      <c r="C2" s="55" t="s">
        <v>133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18"/>
      <c r="AB2" s="18"/>
    </row>
    <row r="3" spans="1:32" ht="12.75" customHeight="1" x14ac:dyDescent="0.25">
      <c r="A3" s="56"/>
      <c r="B3" s="56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18"/>
      <c r="AB3" s="18"/>
    </row>
    <row r="4" spans="1:32" ht="12.75" hidden="1" customHeight="1" x14ac:dyDescent="0.25">
      <c r="A4" s="57" t="s">
        <v>134</v>
      </c>
      <c r="B4" s="58"/>
      <c r="C4" s="59" t="s">
        <v>135</v>
      </c>
      <c r="D4" s="59" t="s">
        <v>136</v>
      </c>
      <c r="E4" s="59" t="s">
        <v>137</v>
      </c>
      <c r="F4" s="53"/>
      <c r="G4" s="60" t="s">
        <v>138</v>
      </c>
      <c r="H4" s="60" t="s">
        <v>139</v>
      </c>
      <c r="I4" s="60"/>
      <c r="J4" s="60"/>
      <c r="K4" s="60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61"/>
      <c r="AB4" s="61"/>
      <c r="AC4" s="18"/>
      <c r="AD4" s="18"/>
      <c r="AE4" s="18"/>
      <c r="AF4" s="18"/>
    </row>
    <row r="5" spans="1:32" ht="12.75" hidden="1" customHeight="1" x14ac:dyDescent="0.25">
      <c r="A5" s="200" t="s">
        <v>140</v>
      </c>
      <c r="B5" s="56"/>
      <c r="C5" s="53">
        <v>40</v>
      </c>
      <c r="D5" s="53">
        <v>864000000</v>
      </c>
      <c r="E5" s="53">
        <v>0.35</v>
      </c>
      <c r="F5" s="53"/>
      <c r="G5" s="53" t="s">
        <v>141</v>
      </c>
      <c r="H5" s="53">
        <v>1800000</v>
      </c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62"/>
      <c r="AB5" s="63"/>
    </row>
    <row r="6" spans="1:32" ht="12.75" hidden="1" customHeight="1" x14ac:dyDescent="0.25">
      <c r="A6" s="200" t="s">
        <v>142</v>
      </c>
      <c r="B6" s="56"/>
      <c r="C6" s="53">
        <v>25</v>
      </c>
      <c r="D6" s="53">
        <v>540000000</v>
      </c>
      <c r="E6" s="53">
        <v>0.35</v>
      </c>
      <c r="F6" s="53"/>
      <c r="G6" s="53" t="s">
        <v>143</v>
      </c>
      <c r="H6" s="53">
        <v>1800000</v>
      </c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62"/>
      <c r="AB6" s="63"/>
    </row>
    <row r="7" spans="1:32" ht="12.75" hidden="1" customHeight="1" x14ac:dyDescent="0.25">
      <c r="A7" s="200" t="s">
        <v>144</v>
      </c>
      <c r="B7" s="56"/>
      <c r="C7" s="53">
        <v>120</v>
      </c>
      <c r="D7" s="53">
        <v>1296000000</v>
      </c>
      <c r="E7" s="53">
        <v>0.2</v>
      </c>
      <c r="F7" s="53"/>
      <c r="G7" s="53" t="s">
        <v>145</v>
      </c>
      <c r="H7" s="53">
        <v>900000</v>
      </c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62"/>
      <c r="AB7" s="63"/>
    </row>
    <row r="8" spans="1:32" ht="12.75" hidden="1" customHeight="1" x14ac:dyDescent="0.25">
      <c r="A8" s="200" t="s">
        <v>146</v>
      </c>
      <c r="B8" s="56"/>
      <c r="C8" s="53">
        <v>0</v>
      </c>
      <c r="D8" s="53">
        <v>0</v>
      </c>
      <c r="E8" s="53"/>
      <c r="F8" s="53"/>
      <c r="G8" s="53">
        <v>80000</v>
      </c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62"/>
      <c r="AB8" s="63"/>
      <c r="AC8" s="64"/>
      <c r="AD8" s="56"/>
      <c r="AE8" s="18"/>
      <c r="AF8" s="18"/>
    </row>
    <row r="9" spans="1:32" ht="12.75" hidden="1" customHeight="1" x14ac:dyDescent="0.25">
      <c r="A9" s="65" t="s">
        <v>147</v>
      </c>
      <c r="B9" s="66"/>
      <c r="C9" s="67">
        <v>185</v>
      </c>
      <c r="D9" s="67"/>
      <c r="E9" s="67"/>
      <c r="F9" s="53"/>
      <c r="G9" s="67"/>
      <c r="H9" s="67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68"/>
      <c r="AB9" s="21"/>
      <c r="AC9" s="64"/>
      <c r="AD9" s="56"/>
      <c r="AE9" s="18"/>
      <c r="AF9" s="18"/>
    </row>
    <row r="10" spans="1:32" ht="12.75" hidden="1" customHeight="1" x14ac:dyDescent="0.25">
      <c r="A10" s="69" t="s">
        <v>42</v>
      </c>
      <c r="B10" s="201"/>
      <c r="C10" s="202">
        <f>SUM(C5:C8)</f>
        <v>185</v>
      </c>
      <c r="D10" s="202">
        <f>SUM(D5:D9)</f>
        <v>2700000000</v>
      </c>
      <c r="E10" s="203"/>
      <c r="F10" s="53"/>
      <c r="G10" s="53">
        <f>SUM(G5:H8)</f>
        <v>4580000</v>
      </c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62"/>
      <c r="AB10" s="21"/>
      <c r="AC10" s="70"/>
      <c r="AD10" s="56"/>
      <c r="AE10" s="18"/>
      <c r="AF10" s="18"/>
    </row>
    <row r="11" spans="1:32" ht="12.75" customHeight="1" x14ac:dyDescent="0.25">
      <c r="A11" s="56"/>
      <c r="B11" s="56"/>
      <c r="C11" s="55"/>
      <c r="D11" s="55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62"/>
      <c r="AB11" s="21"/>
      <c r="AC11" s="70"/>
      <c r="AD11" s="56"/>
      <c r="AE11" s="18"/>
      <c r="AF11" s="18"/>
    </row>
    <row r="12" spans="1:32" ht="12.75" customHeight="1" x14ac:dyDescent="0.25">
      <c r="A12" s="71" t="s">
        <v>148</v>
      </c>
      <c r="B12" s="204"/>
      <c r="C12" s="242" t="s">
        <v>25</v>
      </c>
      <c r="D12" s="243"/>
      <c r="E12" s="243"/>
      <c r="F12" s="243"/>
      <c r="G12" s="243"/>
      <c r="H12" s="243"/>
      <c r="I12" s="205"/>
      <c r="J12" s="72" t="s">
        <v>6</v>
      </c>
      <c r="K12" s="72" t="s">
        <v>7</v>
      </c>
      <c r="L12" s="73" t="s">
        <v>149</v>
      </c>
      <c r="M12" s="18"/>
      <c r="N12" s="21"/>
      <c r="O12" s="70"/>
      <c r="P12" s="56"/>
      <c r="Q12" s="18"/>
      <c r="R12" s="18"/>
      <c r="S12" s="18"/>
      <c r="T12" s="18"/>
      <c r="U12" s="22"/>
      <c r="V12" s="18"/>
      <c r="W12" s="18"/>
      <c r="X12" s="18"/>
      <c r="Y12" s="18"/>
      <c r="Z12" s="74"/>
      <c r="AA12" s="18"/>
      <c r="AB12" s="75"/>
      <c r="AC12" s="62"/>
      <c r="AD12" s="21"/>
      <c r="AE12" s="70"/>
      <c r="AF12" s="56"/>
    </row>
    <row r="13" spans="1:32" ht="12.75" customHeight="1" x14ac:dyDescent="0.25">
      <c r="A13" s="206" t="s">
        <v>133</v>
      </c>
      <c r="B13" s="76" t="s">
        <v>9</v>
      </c>
      <c r="C13" s="77">
        <v>1</v>
      </c>
      <c r="D13" s="78">
        <v>2</v>
      </c>
      <c r="E13" s="78">
        <v>3</v>
      </c>
      <c r="F13" s="78">
        <v>4</v>
      </c>
      <c r="G13" s="78">
        <v>5</v>
      </c>
      <c r="H13" s="78">
        <v>6</v>
      </c>
      <c r="I13" s="78">
        <v>7</v>
      </c>
      <c r="J13" s="72" t="s">
        <v>10</v>
      </c>
      <c r="K13" s="72" t="s">
        <v>10</v>
      </c>
      <c r="L13" s="207" t="s">
        <v>150</v>
      </c>
      <c r="M13" s="18"/>
      <c r="N13" s="21"/>
      <c r="O13" s="70"/>
      <c r="P13" s="56"/>
      <c r="Q13" s="18"/>
      <c r="R13" s="18"/>
      <c r="S13" s="18"/>
      <c r="T13" s="18"/>
      <c r="U13" s="22"/>
      <c r="V13" s="18"/>
      <c r="W13" s="18"/>
      <c r="X13" s="18"/>
      <c r="Y13" s="18"/>
      <c r="Z13" s="74"/>
      <c r="AA13" s="18"/>
      <c r="AB13" s="75"/>
      <c r="AC13" s="62"/>
      <c r="AD13" s="21"/>
      <c r="AE13" s="70"/>
      <c r="AF13" s="56"/>
    </row>
    <row r="14" spans="1:32" ht="12.75" customHeight="1" x14ac:dyDescent="0.25">
      <c r="A14" s="154" t="s">
        <v>151</v>
      </c>
      <c r="B14" s="79">
        <f>'Est. Res. Proy.'!B5</f>
        <v>79000000</v>
      </c>
      <c r="C14" s="79">
        <v>0</v>
      </c>
      <c r="D14" s="79">
        <v>0</v>
      </c>
      <c r="E14" s="79">
        <v>0</v>
      </c>
      <c r="F14" s="79">
        <v>0</v>
      </c>
      <c r="G14" s="79">
        <v>0</v>
      </c>
      <c r="H14" s="79">
        <v>0</v>
      </c>
      <c r="I14" s="79">
        <v>0</v>
      </c>
      <c r="J14" s="79">
        <v>0</v>
      </c>
      <c r="K14" s="79">
        <v>0</v>
      </c>
      <c r="L14" s="79">
        <f>SUM(B14:K14)</f>
        <v>79000000</v>
      </c>
      <c r="M14" s="18"/>
      <c r="N14" s="21"/>
      <c r="O14" s="70"/>
      <c r="P14" s="56"/>
      <c r="Q14" s="18"/>
      <c r="R14" s="18"/>
      <c r="S14" s="18"/>
      <c r="T14" s="18"/>
      <c r="U14" s="22"/>
      <c r="V14" s="18"/>
      <c r="W14" s="18"/>
      <c r="X14" s="18"/>
      <c r="Y14" s="18"/>
      <c r="Z14" s="74"/>
      <c r="AA14" s="18"/>
      <c r="AB14" s="75"/>
      <c r="AC14" s="62"/>
      <c r="AD14" s="21"/>
      <c r="AE14" s="70"/>
      <c r="AF14" s="56"/>
    </row>
    <row r="15" spans="1:32" ht="12.75" customHeight="1" x14ac:dyDescent="0.25">
      <c r="A15" s="80" t="s">
        <v>152</v>
      </c>
      <c r="B15" s="81">
        <v>0</v>
      </c>
      <c r="C15" s="81">
        <v>0</v>
      </c>
      <c r="D15" s="81">
        <v>0</v>
      </c>
      <c r="E15" s="81">
        <v>0</v>
      </c>
      <c r="F15" s="81">
        <v>0</v>
      </c>
      <c r="G15" s="81">
        <v>0</v>
      </c>
      <c r="H15" s="81">
        <v>0</v>
      </c>
      <c r="I15" s="81">
        <v>0</v>
      </c>
      <c r="J15" s="81">
        <f>C24*B24</f>
        <v>79917000</v>
      </c>
      <c r="K15" s="81">
        <f>D24*E24</f>
        <v>242414900</v>
      </c>
      <c r="L15" s="79">
        <f>SUM(B15:K15)</f>
        <v>322331900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</row>
    <row r="16" spans="1:32" ht="13.95" customHeight="1" x14ac:dyDescent="0.25">
      <c r="A16" s="82" t="s">
        <v>153</v>
      </c>
      <c r="B16" s="79">
        <f>B15*$C$20</f>
        <v>0</v>
      </c>
      <c r="C16" s="79">
        <v>0</v>
      </c>
      <c r="D16" s="79">
        <v>0</v>
      </c>
      <c r="E16" s="79">
        <v>0</v>
      </c>
      <c r="F16" s="79">
        <v>0</v>
      </c>
      <c r="G16" s="79">
        <v>0</v>
      </c>
      <c r="H16" s="79">
        <v>0</v>
      </c>
      <c r="I16" s="79">
        <v>0</v>
      </c>
      <c r="J16" s="79">
        <f>C25*B25*12</f>
        <v>64800000</v>
      </c>
      <c r="K16" s="79">
        <f>D25*E25*12</f>
        <v>280800000</v>
      </c>
      <c r="L16" s="79">
        <f>SUM(B16:K16)</f>
        <v>345600000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</row>
    <row r="17" spans="1:32" ht="13.95" customHeight="1" x14ac:dyDescent="0.25">
      <c r="A17" s="82" t="s">
        <v>154</v>
      </c>
      <c r="B17" s="79">
        <f>B15*$C$20</f>
        <v>0</v>
      </c>
      <c r="C17" s="79">
        <v>0</v>
      </c>
      <c r="D17" s="79">
        <v>0</v>
      </c>
      <c r="E17" s="79">
        <v>0</v>
      </c>
      <c r="F17" s="79">
        <v>0</v>
      </c>
      <c r="G17" s="79">
        <v>0</v>
      </c>
      <c r="H17" s="79">
        <v>0</v>
      </c>
      <c r="I17" s="79">
        <v>0</v>
      </c>
      <c r="J17" s="83">
        <v>600000</v>
      </c>
      <c r="K17" s="79">
        <v>1000000</v>
      </c>
      <c r="L17" s="79">
        <f>SUM(B17:K17)</f>
        <v>1600000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</row>
    <row r="18" spans="1:32" ht="12.75" customHeight="1" x14ac:dyDescent="0.25">
      <c r="A18" s="208" t="s">
        <v>155</v>
      </c>
      <c r="B18" s="84">
        <f t="shared" ref="B18:L18" si="0">SUM(B14:B17)</f>
        <v>79000000</v>
      </c>
      <c r="C18" s="84">
        <f t="shared" si="0"/>
        <v>0</v>
      </c>
      <c r="D18" s="84">
        <f t="shared" si="0"/>
        <v>0</v>
      </c>
      <c r="E18" s="84">
        <f t="shared" si="0"/>
        <v>0</v>
      </c>
      <c r="F18" s="84">
        <f t="shared" si="0"/>
        <v>0</v>
      </c>
      <c r="G18" s="84">
        <f t="shared" si="0"/>
        <v>0</v>
      </c>
      <c r="H18" s="84">
        <f t="shared" si="0"/>
        <v>0</v>
      </c>
      <c r="I18" s="84">
        <f t="shared" si="0"/>
        <v>0</v>
      </c>
      <c r="J18" s="84">
        <f t="shared" si="0"/>
        <v>145317000</v>
      </c>
      <c r="K18" s="84">
        <f t="shared" si="0"/>
        <v>524214900</v>
      </c>
      <c r="L18" s="84">
        <f t="shared" si="0"/>
        <v>748531900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</row>
    <row r="19" spans="1:32" ht="12.75" customHeight="1" x14ac:dyDescent="0.25">
      <c r="A19" s="56"/>
      <c r="B19" s="56"/>
      <c r="C19" s="55"/>
      <c r="D19" s="55"/>
      <c r="E19" s="55"/>
      <c r="F19" s="55"/>
      <c r="G19" s="53"/>
      <c r="H19" s="53"/>
      <c r="I19" s="53"/>
      <c r="J19" s="53"/>
      <c r="K19" s="53"/>
      <c r="L19" s="53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</row>
    <row r="20" spans="1:32" ht="12.75" customHeight="1" x14ac:dyDescent="0.25">
      <c r="A20" s="53"/>
      <c r="B20" s="53"/>
      <c r="C20" s="53"/>
      <c r="D20" s="53"/>
      <c r="E20" s="85"/>
      <c r="F20" s="53"/>
      <c r="G20" s="53"/>
      <c r="H20" s="53"/>
      <c r="I20" s="53"/>
      <c r="J20" s="53"/>
      <c r="K20" s="53"/>
      <c r="L20" s="53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spans="1:32" ht="12.75" customHeight="1" x14ac:dyDescent="0.25">
      <c r="A21" s="18"/>
      <c r="B21" s="18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18"/>
      <c r="AB21" s="18"/>
      <c r="AC21" s="18"/>
      <c r="AD21" s="18"/>
      <c r="AE21" s="18"/>
      <c r="AF21" s="18"/>
    </row>
    <row r="22" spans="1:32" ht="15.75" customHeight="1" x14ac:dyDescent="0.25">
      <c r="A22" s="204" t="s">
        <v>156</v>
      </c>
      <c r="B22" s="86" t="s">
        <v>157</v>
      </c>
      <c r="C22" s="87" t="s">
        <v>158</v>
      </c>
      <c r="D22" s="86" t="s">
        <v>157</v>
      </c>
      <c r="E22" s="87" t="s">
        <v>158</v>
      </c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18"/>
      <c r="AB22" s="18"/>
      <c r="AC22" s="18"/>
      <c r="AD22" s="18"/>
      <c r="AE22" s="18"/>
      <c r="AF22" s="18"/>
    </row>
    <row r="23" spans="1:32" ht="12.75" customHeight="1" x14ac:dyDescent="0.25">
      <c r="A23" s="78"/>
      <c r="B23" s="88" t="s">
        <v>159</v>
      </c>
      <c r="C23" s="88" t="s">
        <v>6</v>
      </c>
      <c r="D23" s="88" t="s">
        <v>160</v>
      </c>
      <c r="E23" s="88" t="s">
        <v>7</v>
      </c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18"/>
      <c r="AB23" s="18"/>
      <c r="AC23" s="18"/>
      <c r="AD23" s="18"/>
      <c r="AE23" s="18"/>
      <c r="AF23" s="18"/>
    </row>
    <row r="24" spans="1:32" ht="15.75" customHeight="1" x14ac:dyDescent="0.25">
      <c r="A24" s="80" t="s">
        <v>161</v>
      </c>
      <c r="B24" s="89">
        <v>26639000</v>
      </c>
      <c r="C24" s="90">
        <v>3</v>
      </c>
      <c r="D24" s="91">
        <f>B24+B24*'Est. Res. Proy.'!E20</f>
        <v>34630700</v>
      </c>
      <c r="E24" s="90">
        <v>7</v>
      </c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18"/>
      <c r="AC24" s="18"/>
      <c r="AD24" s="18"/>
      <c r="AE24" s="18"/>
      <c r="AF24" s="18"/>
    </row>
    <row r="25" spans="1:32" ht="15.75" customHeight="1" x14ac:dyDescent="0.25">
      <c r="A25" s="82" t="s">
        <v>162</v>
      </c>
      <c r="B25" s="83">
        <v>1800000</v>
      </c>
      <c r="C25" s="92">
        <v>3</v>
      </c>
      <c r="D25" s="91">
        <f>B25+B25*'Est. Res. Proy.'!E20</f>
        <v>2340000</v>
      </c>
      <c r="E25" s="92">
        <f>C25+E24</f>
        <v>10</v>
      </c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18"/>
      <c r="AC25" s="18"/>
      <c r="AD25" s="18"/>
      <c r="AE25" s="18"/>
      <c r="AF25" s="18"/>
    </row>
    <row r="26" spans="1:32" ht="12.75" customHeight="1" x14ac:dyDescent="0.25"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18"/>
      <c r="AC26" s="18"/>
      <c r="AD26" s="18"/>
      <c r="AE26" s="18"/>
      <c r="AF26" s="18"/>
    </row>
    <row r="27" spans="1:32" ht="12.75" customHeight="1" x14ac:dyDescent="0.25"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18"/>
      <c r="AC27" s="18"/>
      <c r="AD27" s="18"/>
      <c r="AE27" s="18"/>
      <c r="AF27" s="18"/>
    </row>
    <row r="28" spans="1:32" ht="12.75" customHeight="1" x14ac:dyDescent="0.25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18"/>
      <c r="AB28" s="18"/>
      <c r="AC28" s="18"/>
      <c r="AD28" s="18"/>
      <c r="AE28" s="18"/>
      <c r="AF28" s="18"/>
    </row>
    <row r="29" spans="1:32" ht="12.75" customHeight="1" x14ac:dyDescent="0.25">
      <c r="A29" s="18"/>
      <c r="B29" s="18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18"/>
      <c r="AB29" s="18"/>
      <c r="AC29" s="18"/>
      <c r="AD29" s="18"/>
      <c r="AE29" s="18"/>
      <c r="AF29" s="18"/>
    </row>
    <row r="30" spans="1:32" ht="12.75" customHeight="1" x14ac:dyDescent="0.25">
      <c r="A30" s="18"/>
      <c r="B30" s="18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18"/>
      <c r="AB30" s="18"/>
      <c r="AC30" s="18"/>
      <c r="AD30" s="18"/>
      <c r="AE30" s="18"/>
      <c r="AF30" s="18"/>
    </row>
    <row r="31" spans="1:32" ht="12.75" customHeight="1" x14ac:dyDescent="0.25">
      <c r="A31" s="18"/>
      <c r="B31" s="18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18"/>
      <c r="AB31" s="18"/>
      <c r="AC31" s="18"/>
      <c r="AD31" s="18"/>
      <c r="AE31" s="18"/>
      <c r="AF31" s="18"/>
    </row>
    <row r="32" spans="1:32" ht="12.75" customHeight="1" x14ac:dyDescent="0.25">
      <c r="A32" s="18"/>
      <c r="B32" s="18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18"/>
      <c r="AB32" s="18"/>
      <c r="AC32" s="18"/>
      <c r="AD32" s="18"/>
      <c r="AE32" s="18"/>
      <c r="AF32" s="18"/>
    </row>
    <row r="33" spans="1:32" ht="12.75" customHeight="1" x14ac:dyDescent="0.25">
      <c r="A33" s="18"/>
      <c r="B33" s="18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18"/>
      <c r="AB33" s="18"/>
      <c r="AC33" s="18"/>
      <c r="AD33" s="18"/>
      <c r="AE33" s="18"/>
      <c r="AF33" s="18"/>
    </row>
    <row r="34" spans="1:32" ht="12.75" customHeight="1" x14ac:dyDescent="0.25">
      <c r="A34" s="18"/>
      <c r="B34" s="18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18"/>
      <c r="AB34" s="18"/>
      <c r="AC34" s="18"/>
      <c r="AD34" s="18"/>
      <c r="AE34" s="18"/>
      <c r="AF34" s="18"/>
    </row>
    <row r="35" spans="1:32" ht="12.75" customHeight="1" x14ac:dyDescent="0.25">
      <c r="A35" s="18"/>
      <c r="B35" s="18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18"/>
      <c r="AB35" s="18"/>
      <c r="AC35" s="18"/>
      <c r="AD35" s="18"/>
      <c r="AE35" s="18"/>
      <c r="AF35" s="18"/>
    </row>
    <row r="36" spans="1:32" ht="12.75" customHeight="1" x14ac:dyDescent="0.25">
      <c r="A36" s="18"/>
      <c r="B36" s="18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18"/>
      <c r="AB36" s="18"/>
      <c r="AC36" s="18"/>
      <c r="AD36" s="18"/>
      <c r="AE36" s="18"/>
      <c r="AF36" s="18"/>
    </row>
    <row r="37" spans="1:32" ht="12.75" customHeight="1" x14ac:dyDescent="0.25">
      <c r="A37" s="18"/>
      <c r="B37" s="18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18"/>
      <c r="AB37" s="18"/>
      <c r="AC37" s="18"/>
      <c r="AD37" s="18"/>
      <c r="AE37" s="18"/>
      <c r="AF37" s="18"/>
    </row>
    <row r="38" spans="1:32" ht="12.75" customHeight="1" x14ac:dyDescent="0.25">
      <c r="A38" s="18"/>
      <c r="B38" s="18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18"/>
      <c r="AB38" s="18"/>
      <c r="AC38" s="18"/>
      <c r="AD38" s="18"/>
      <c r="AE38" s="18"/>
      <c r="AF38" s="18"/>
    </row>
    <row r="39" spans="1:32" ht="12.75" customHeight="1" x14ac:dyDescent="0.25">
      <c r="A39" s="18"/>
      <c r="B39" s="18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18"/>
      <c r="AB39" s="18"/>
      <c r="AC39" s="18"/>
      <c r="AD39" s="18"/>
      <c r="AE39" s="18"/>
      <c r="AF39" s="18"/>
    </row>
    <row r="40" spans="1:32" ht="12.75" customHeight="1" x14ac:dyDescent="0.25">
      <c r="A40" s="18"/>
      <c r="B40" s="18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18"/>
      <c r="AB40" s="18"/>
      <c r="AC40" s="18"/>
      <c r="AD40" s="18"/>
      <c r="AE40" s="18"/>
      <c r="AF40" s="18"/>
    </row>
    <row r="41" spans="1:32" ht="12.75" customHeight="1" x14ac:dyDescent="0.25">
      <c r="A41" s="18"/>
      <c r="B41" s="18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18"/>
      <c r="AB41" s="18"/>
      <c r="AC41" s="18"/>
      <c r="AD41" s="18"/>
      <c r="AE41" s="18"/>
      <c r="AF41" s="18"/>
    </row>
    <row r="42" spans="1:32" ht="12.75" customHeight="1" x14ac:dyDescent="0.25">
      <c r="A42" s="18"/>
      <c r="B42" s="18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18"/>
      <c r="AB42" s="18"/>
      <c r="AC42" s="18"/>
      <c r="AD42" s="18"/>
      <c r="AE42" s="18"/>
      <c r="AF42" s="18"/>
    </row>
    <row r="43" spans="1:32" ht="12.75" customHeight="1" x14ac:dyDescent="0.25">
      <c r="A43" s="18"/>
      <c r="B43" s="18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18"/>
      <c r="AB43" s="18"/>
      <c r="AC43" s="18"/>
      <c r="AD43" s="18"/>
      <c r="AE43" s="18"/>
      <c r="AF43" s="18"/>
    </row>
    <row r="44" spans="1:32" ht="12.75" customHeight="1" x14ac:dyDescent="0.25">
      <c r="A44" s="18"/>
      <c r="B44" s="18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18"/>
      <c r="AB44" s="18"/>
      <c r="AC44" s="18"/>
      <c r="AD44" s="18"/>
      <c r="AE44" s="18"/>
      <c r="AF44" s="18"/>
    </row>
    <row r="45" spans="1:32" ht="12.75" customHeight="1" x14ac:dyDescent="0.25">
      <c r="A45" s="18"/>
      <c r="B45" s="18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18"/>
      <c r="AB45" s="18"/>
      <c r="AC45" s="18"/>
      <c r="AD45" s="18"/>
      <c r="AE45" s="18"/>
      <c r="AF45" s="18"/>
    </row>
    <row r="46" spans="1:32" ht="12.75" customHeight="1" x14ac:dyDescent="0.25">
      <c r="A46" s="18"/>
      <c r="B46" s="18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18"/>
      <c r="AB46" s="18"/>
      <c r="AC46" s="18"/>
      <c r="AD46" s="18"/>
      <c r="AE46" s="18"/>
      <c r="AF46" s="18"/>
    </row>
    <row r="47" spans="1:32" ht="12.75" customHeight="1" x14ac:dyDescent="0.25">
      <c r="A47" s="18"/>
      <c r="B47" s="18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18"/>
      <c r="AB47" s="18"/>
      <c r="AC47" s="18"/>
      <c r="AD47" s="18"/>
      <c r="AE47" s="18"/>
      <c r="AF47" s="18"/>
    </row>
    <row r="48" spans="1:32" ht="12.75" customHeight="1" x14ac:dyDescent="0.25">
      <c r="A48" s="18"/>
      <c r="B48" s="18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18"/>
      <c r="AB48" s="18"/>
      <c r="AC48" s="18"/>
      <c r="AD48" s="18"/>
      <c r="AE48" s="18"/>
      <c r="AF48" s="18"/>
    </row>
    <row r="49" spans="1:32" ht="12.75" customHeight="1" x14ac:dyDescent="0.25">
      <c r="A49" s="18"/>
      <c r="B49" s="18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18"/>
      <c r="AB49" s="18"/>
      <c r="AC49" s="18"/>
      <c r="AD49" s="18"/>
      <c r="AE49" s="18"/>
      <c r="AF49" s="18"/>
    </row>
    <row r="50" spans="1:32" ht="12.75" customHeight="1" x14ac:dyDescent="0.25">
      <c r="A50" s="18"/>
      <c r="B50" s="18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18"/>
      <c r="AB50" s="18"/>
      <c r="AC50" s="18"/>
      <c r="AD50" s="18"/>
      <c r="AE50" s="18"/>
      <c r="AF50" s="18"/>
    </row>
    <row r="51" spans="1:32" ht="12.75" customHeight="1" x14ac:dyDescent="0.25">
      <c r="A51" s="18"/>
      <c r="B51" s="18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18"/>
      <c r="AB51" s="18"/>
      <c r="AC51" s="18"/>
      <c r="AD51" s="18"/>
      <c r="AE51" s="18"/>
      <c r="AF51" s="18"/>
    </row>
    <row r="52" spans="1:32" ht="12.75" customHeight="1" x14ac:dyDescent="0.25">
      <c r="A52" s="18"/>
      <c r="B52" s="18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18"/>
      <c r="AB52" s="18"/>
      <c r="AC52" s="18"/>
      <c r="AD52" s="18"/>
      <c r="AE52" s="18"/>
      <c r="AF52" s="18"/>
    </row>
    <row r="53" spans="1:32" ht="12.75" customHeight="1" x14ac:dyDescent="0.25">
      <c r="A53" s="18"/>
      <c r="B53" s="18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18"/>
      <c r="AB53" s="18"/>
      <c r="AC53" s="18"/>
      <c r="AD53" s="18"/>
      <c r="AE53" s="18"/>
      <c r="AF53" s="18"/>
    </row>
    <row r="54" spans="1:32" ht="12.75" customHeight="1" x14ac:dyDescent="0.25">
      <c r="A54" s="18"/>
      <c r="B54" s="18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18"/>
      <c r="AB54" s="18"/>
      <c r="AC54" s="18"/>
      <c r="AD54" s="18"/>
      <c r="AE54" s="18"/>
      <c r="AF54" s="18"/>
    </row>
    <row r="55" spans="1:32" ht="12.75" customHeight="1" x14ac:dyDescent="0.25">
      <c r="A55" s="18"/>
      <c r="B55" s="18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18"/>
      <c r="AB55" s="18"/>
      <c r="AC55" s="18"/>
      <c r="AD55" s="18"/>
      <c r="AE55" s="18"/>
      <c r="AF55" s="18"/>
    </row>
    <row r="56" spans="1:32" ht="12.75" customHeight="1" x14ac:dyDescent="0.25">
      <c r="A56" s="18"/>
      <c r="B56" s="18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18"/>
      <c r="AB56" s="18"/>
      <c r="AC56" s="18"/>
      <c r="AD56" s="18"/>
      <c r="AE56" s="18"/>
      <c r="AF56" s="18"/>
    </row>
    <row r="57" spans="1:32" ht="12.75" customHeight="1" x14ac:dyDescent="0.25">
      <c r="A57" s="18"/>
      <c r="B57" s="18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18"/>
      <c r="AB57" s="18"/>
      <c r="AC57" s="18"/>
      <c r="AD57" s="18"/>
      <c r="AE57" s="18"/>
      <c r="AF57" s="18"/>
    </row>
    <row r="58" spans="1:32" ht="12.75" customHeight="1" x14ac:dyDescent="0.25">
      <c r="A58" s="18"/>
      <c r="B58" s="18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18"/>
      <c r="AB58" s="18"/>
      <c r="AC58" s="18"/>
      <c r="AD58" s="18"/>
      <c r="AE58" s="18"/>
      <c r="AF58" s="18"/>
    </row>
    <row r="59" spans="1:32" ht="12.75" customHeight="1" x14ac:dyDescent="0.25">
      <c r="A59" s="18"/>
      <c r="B59" s="18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18"/>
      <c r="AB59" s="18"/>
      <c r="AC59" s="18"/>
      <c r="AD59" s="18"/>
      <c r="AE59" s="18"/>
      <c r="AF59" s="18"/>
    </row>
    <row r="60" spans="1:32" ht="12.75" customHeight="1" x14ac:dyDescent="0.25"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18"/>
      <c r="AB60" s="18"/>
      <c r="AC60" s="18"/>
      <c r="AD60" s="18"/>
      <c r="AE60" s="18"/>
      <c r="AF60" s="18"/>
    </row>
    <row r="61" spans="1:32" ht="12.75" customHeight="1" x14ac:dyDescent="0.25"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18"/>
      <c r="AB61" s="18"/>
      <c r="AC61" s="18"/>
      <c r="AD61" s="18"/>
      <c r="AE61" s="18"/>
      <c r="AF61" s="18"/>
    </row>
    <row r="62" spans="1:32" ht="12.75" customHeight="1" x14ac:dyDescent="0.25"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18"/>
      <c r="AB62" s="18"/>
      <c r="AC62" s="18"/>
      <c r="AD62" s="18"/>
      <c r="AE62" s="18"/>
      <c r="AF62" s="18"/>
    </row>
    <row r="63" spans="1:32" ht="12.75" customHeight="1" x14ac:dyDescent="0.25"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18"/>
      <c r="AB63" s="18"/>
      <c r="AC63" s="18"/>
      <c r="AD63" s="18"/>
      <c r="AE63" s="18"/>
      <c r="AF63" s="18"/>
    </row>
    <row r="64" spans="1:32" ht="12.75" customHeight="1" x14ac:dyDescent="0.25"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18"/>
      <c r="AB64" s="18"/>
      <c r="AC64" s="18"/>
      <c r="AD64" s="18"/>
      <c r="AE64" s="18"/>
      <c r="AF64" s="18"/>
    </row>
    <row r="65" spans="3:26" ht="12.75" customHeight="1" x14ac:dyDescent="0.25"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3:26" ht="12.75" customHeight="1" x14ac:dyDescent="0.25"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3:26" ht="12.75" customHeight="1" x14ac:dyDescent="0.25"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3:26" ht="12.75" customHeight="1" x14ac:dyDescent="0.25"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3:26" ht="12.75" customHeight="1" x14ac:dyDescent="0.25"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3:26" ht="12.75" customHeight="1" x14ac:dyDescent="0.25"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3:26" ht="12.75" customHeight="1" x14ac:dyDescent="0.25"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3:26" ht="12.75" customHeight="1" x14ac:dyDescent="0.25"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3:26" ht="12.75" customHeight="1" x14ac:dyDescent="0.25"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3:26" ht="12.75" customHeight="1" x14ac:dyDescent="0.25"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3:26" ht="12.75" customHeight="1" x14ac:dyDescent="0.25"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3:26" ht="12.75" customHeight="1" x14ac:dyDescent="0.25"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3:26" ht="12.75" customHeight="1" x14ac:dyDescent="0.25"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3:26" ht="12.75" customHeight="1" x14ac:dyDescent="0.25"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3:26" ht="12.75" customHeight="1" x14ac:dyDescent="0.25"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3:26" ht="12.75" customHeight="1" x14ac:dyDescent="0.25"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3:26" ht="12.75" customHeight="1" x14ac:dyDescent="0.25"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3:26" ht="12.75" customHeight="1" x14ac:dyDescent="0.25"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3:26" ht="12.75" customHeight="1" x14ac:dyDescent="0.25"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3:26" ht="12.75" customHeight="1" x14ac:dyDescent="0.25"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3:26" ht="12.75" customHeight="1" x14ac:dyDescent="0.25"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3:26" ht="12.75" customHeight="1" x14ac:dyDescent="0.25"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3:26" ht="12.75" customHeight="1" x14ac:dyDescent="0.25"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3:26" ht="12.75" customHeight="1" x14ac:dyDescent="0.25"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3:26" ht="12.75" customHeight="1" x14ac:dyDescent="0.25"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3:26" ht="12.75" customHeight="1" x14ac:dyDescent="0.25"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3:26" ht="12.75" customHeight="1" x14ac:dyDescent="0.25"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3:26" ht="12.75" customHeight="1" x14ac:dyDescent="0.25"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3:26" ht="12.75" customHeight="1" x14ac:dyDescent="0.25"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3:26" ht="12.75" customHeight="1" x14ac:dyDescent="0.25"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3:26" ht="12.75" customHeight="1" x14ac:dyDescent="0.25"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3:26" ht="12.75" customHeight="1" x14ac:dyDescent="0.25"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3:26" ht="12.75" customHeight="1" x14ac:dyDescent="0.25"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3:26" ht="12.75" customHeight="1" x14ac:dyDescent="0.25"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3:26" ht="12.75" customHeight="1" x14ac:dyDescent="0.25"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3:26" ht="12.75" customHeight="1" x14ac:dyDescent="0.25"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3:26" ht="12.75" customHeight="1" x14ac:dyDescent="0.25"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3:26" ht="12.75" customHeight="1" x14ac:dyDescent="0.25"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3:26" ht="12.75" customHeight="1" x14ac:dyDescent="0.25"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3:26" ht="12.75" customHeight="1" x14ac:dyDescent="0.25"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3:26" ht="12.75" customHeight="1" x14ac:dyDescent="0.25"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3:26" ht="12.75" customHeight="1" x14ac:dyDescent="0.25"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3:26" ht="12.75" customHeight="1" x14ac:dyDescent="0.25"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3:26" ht="12.75" customHeight="1" x14ac:dyDescent="0.25"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3:26" ht="12.75" customHeight="1" x14ac:dyDescent="0.25"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3:26" ht="12.75" customHeight="1" x14ac:dyDescent="0.25"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3:26" ht="12.75" customHeight="1" x14ac:dyDescent="0.25"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3:26" ht="12.75" customHeight="1" x14ac:dyDescent="0.25"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3:26" ht="12.75" customHeight="1" x14ac:dyDescent="0.25"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3:26" ht="12.75" customHeight="1" x14ac:dyDescent="0.25"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3:26" ht="12.75" customHeight="1" x14ac:dyDescent="0.25"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3:26" ht="12.75" customHeight="1" x14ac:dyDescent="0.25"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3:26" ht="12.75" customHeight="1" x14ac:dyDescent="0.25"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3:26" ht="12.75" customHeight="1" x14ac:dyDescent="0.25"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3:26" ht="12.75" customHeight="1" x14ac:dyDescent="0.25"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3:26" ht="12.75" customHeight="1" x14ac:dyDescent="0.25"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3:26" ht="12.75" customHeight="1" x14ac:dyDescent="0.25"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3:26" ht="12.75" customHeight="1" x14ac:dyDescent="0.25"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3:26" ht="12.75" customHeight="1" x14ac:dyDescent="0.25"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3:26" ht="12.75" customHeight="1" x14ac:dyDescent="0.25"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3:26" ht="12.75" customHeight="1" x14ac:dyDescent="0.25"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3:26" ht="12.75" customHeight="1" x14ac:dyDescent="0.25"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3:26" ht="12.75" customHeight="1" x14ac:dyDescent="0.25"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3:26" ht="12.75" customHeight="1" x14ac:dyDescent="0.25"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3:26" ht="12.75" customHeight="1" x14ac:dyDescent="0.25"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3:26" ht="12.75" customHeight="1" x14ac:dyDescent="0.25"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3:26" ht="12.75" customHeight="1" x14ac:dyDescent="0.25"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3:26" ht="12.75" customHeight="1" x14ac:dyDescent="0.25"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3:26" ht="12.75" customHeight="1" x14ac:dyDescent="0.25"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3:26" ht="12.75" customHeight="1" x14ac:dyDescent="0.25"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3:26" ht="12.75" customHeight="1" x14ac:dyDescent="0.25"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3:26" ht="12.75" customHeight="1" x14ac:dyDescent="0.25"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3:26" ht="12.75" customHeight="1" x14ac:dyDescent="0.25"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3:26" ht="12.75" customHeight="1" x14ac:dyDescent="0.25"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3:26" ht="12.75" customHeight="1" x14ac:dyDescent="0.25"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3:26" ht="12.75" customHeight="1" x14ac:dyDescent="0.25"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3:26" ht="12.75" customHeight="1" x14ac:dyDescent="0.25"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3:26" ht="12.75" customHeight="1" x14ac:dyDescent="0.25"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3:26" ht="12.75" customHeight="1" x14ac:dyDescent="0.25"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3:26" ht="12.75" customHeight="1" x14ac:dyDescent="0.25"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3:26" ht="12.75" customHeight="1" x14ac:dyDescent="0.25"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3:26" ht="12.75" customHeight="1" x14ac:dyDescent="0.25"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3:26" ht="12.75" customHeight="1" x14ac:dyDescent="0.25"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3:26" ht="12.75" customHeight="1" x14ac:dyDescent="0.25"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3:26" ht="12.75" customHeight="1" x14ac:dyDescent="0.25"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3:26" ht="12.75" customHeight="1" x14ac:dyDescent="0.25"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3:26" ht="12.75" customHeight="1" x14ac:dyDescent="0.25"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3:26" ht="12.75" customHeight="1" x14ac:dyDescent="0.25"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3:26" ht="12.75" customHeight="1" x14ac:dyDescent="0.25"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3:26" ht="12.75" customHeight="1" x14ac:dyDescent="0.25"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3:26" ht="12.75" customHeight="1" x14ac:dyDescent="0.25"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3:26" ht="12.75" customHeight="1" x14ac:dyDescent="0.25"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3:26" ht="12.75" customHeight="1" x14ac:dyDescent="0.25"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3:26" ht="12.75" customHeight="1" x14ac:dyDescent="0.25"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3:26" ht="12.75" customHeight="1" x14ac:dyDescent="0.25"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3:26" ht="12.75" customHeight="1" x14ac:dyDescent="0.25"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3:26" ht="12.75" customHeight="1" x14ac:dyDescent="0.25"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3:26" ht="12.75" customHeight="1" x14ac:dyDescent="0.25"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3:26" ht="12.75" customHeight="1" x14ac:dyDescent="0.25"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3:26" ht="12.75" customHeight="1" x14ac:dyDescent="0.25"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3:26" ht="12.75" customHeight="1" x14ac:dyDescent="0.25"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3:26" ht="12.75" customHeight="1" x14ac:dyDescent="0.25"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3:26" ht="12.75" customHeight="1" x14ac:dyDescent="0.25"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3:26" ht="12.75" customHeight="1" x14ac:dyDescent="0.25"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3:26" ht="12.75" customHeight="1" x14ac:dyDescent="0.25"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3:26" ht="12.75" customHeight="1" x14ac:dyDescent="0.25"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3:26" ht="12.75" customHeight="1" x14ac:dyDescent="0.25"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3:26" ht="12.75" customHeight="1" x14ac:dyDescent="0.25"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3:26" ht="12.75" customHeight="1" x14ac:dyDescent="0.25"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3:26" ht="12.75" customHeight="1" x14ac:dyDescent="0.25"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3:26" ht="12.75" customHeight="1" x14ac:dyDescent="0.25"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3:26" ht="12.75" customHeight="1" x14ac:dyDescent="0.25"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3:26" ht="12.75" customHeight="1" x14ac:dyDescent="0.25"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3:26" ht="12.75" customHeight="1" x14ac:dyDescent="0.25"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3:26" ht="12.75" customHeight="1" x14ac:dyDescent="0.25"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3:26" ht="12.75" customHeight="1" x14ac:dyDescent="0.25"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3:26" ht="12.75" customHeight="1" x14ac:dyDescent="0.25"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3:26" ht="12.75" customHeight="1" x14ac:dyDescent="0.25"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3:26" ht="12.75" customHeight="1" x14ac:dyDescent="0.25"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3:26" ht="12.75" customHeight="1" x14ac:dyDescent="0.25"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3:26" ht="12.75" customHeight="1" x14ac:dyDescent="0.25"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3:26" ht="12.75" customHeight="1" x14ac:dyDescent="0.25"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3:26" ht="12.75" customHeight="1" x14ac:dyDescent="0.25"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3:26" ht="12.75" customHeight="1" x14ac:dyDescent="0.25"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3:26" ht="12.75" customHeight="1" x14ac:dyDescent="0.25"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3:26" ht="12.75" customHeight="1" x14ac:dyDescent="0.25"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3:26" ht="12.75" customHeight="1" x14ac:dyDescent="0.25"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3:26" ht="12.75" customHeight="1" x14ac:dyDescent="0.25"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3:26" ht="12.75" customHeight="1" x14ac:dyDescent="0.25"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3:26" ht="12.75" customHeight="1" x14ac:dyDescent="0.25"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3:26" ht="12.75" customHeight="1" x14ac:dyDescent="0.25"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3:26" ht="12.75" customHeight="1" x14ac:dyDescent="0.25"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3:26" ht="12.75" customHeight="1" x14ac:dyDescent="0.25"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3:26" ht="12.75" customHeight="1" x14ac:dyDescent="0.25"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3:26" ht="12.75" customHeight="1" x14ac:dyDescent="0.25"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3:26" ht="12.75" customHeight="1" x14ac:dyDescent="0.25"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3:26" ht="12.75" customHeight="1" x14ac:dyDescent="0.25"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3:26" ht="12.75" customHeight="1" x14ac:dyDescent="0.25"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3:26" ht="12.75" customHeight="1" x14ac:dyDescent="0.25"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3:26" ht="12.75" customHeight="1" x14ac:dyDescent="0.25"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3:26" ht="12.75" customHeight="1" x14ac:dyDescent="0.25"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3:26" ht="12.75" customHeight="1" x14ac:dyDescent="0.25"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3:26" ht="12.75" customHeight="1" x14ac:dyDescent="0.25"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3:26" ht="12.75" customHeight="1" x14ac:dyDescent="0.25"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3:26" ht="12.75" customHeight="1" x14ac:dyDescent="0.25"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3:26" ht="12.75" customHeight="1" x14ac:dyDescent="0.25"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3:26" ht="12.75" customHeight="1" x14ac:dyDescent="0.25"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3:26" ht="12.75" customHeight="1" x14ac:dyDescent="0.25"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3:26" ht="12.75" customHeight="1" x14ac:dyDescent="0.25"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3:26" ht="12.75" customHeight="1" x14ac:dyDescent="0.25"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3:26" ht="12.75" customHeight="1" x14ac:dyDescent="0.25"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3:26" ht="12.75" customHeight="1" x14ac:dyDescent="0.25"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3:26" ht="12.75" customHeight="1" x14ac:dyDescent="0.25"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3:26" ht="12.75" customHeight="1" x14ac:dyDescent="0.25"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3:26" ht="12.75" customHeight="1" x14ac:dyDescent="0.25"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3:26" ht="12.75" customHeight="1" x14ac:dyDescent="0.25"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3:26" ht="12.75" customHeight="1" x14ac:dyDescent="0.25"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3:26" ht="12.75" customHeight="1" x14ac:dyDescent="0.25"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3:26" ht="12.75" customHeight="1" x14ac:dyDescent="0.25"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3:26" ht="12.75" customHeight="1" x14ac:dyDescent="0.25"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3:26" ht="12.75" customHeight="1" x14ac:dyDescent="0.25"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3:26" ht="15.75" customHeight="1" x14ac:dyDescent="0.25"/>
    <row r="227" spans="3:26" ht="15.75" customHeight="1" x14ac:dyDescent="0.25"/>
    <row r="228" spans="3:26" ht="15.75" customHeight="1" x14ac:dyDescent="0.25"/>
    <row r="229" spans="3:26" ht="15.75" customHeight="1" x14ac:dyDescent="0.25"/>
    <row r="230" spans="3:26" ht="15.75" customHeight="1" x14ac:dyDescent="0.25"/>
    <row r="231" spans="3:26" ht="15.75" customHeight="1" x14ac:dyDescent="0.25"/>
    <row r="232" spans="3:26" ht="15.75" customHeight="1" x14ac:dyDescent="0.25"/>
    <row r="233" spans="3:26" ht="15.75" customHeight="1" x14ac:dyDescent="0.25"/>
    <row r="234" spans="3:26" ht="15.75" customHeight="1" x14ac:dyDescent="0.25"/>
    <row r="235" spans="3:26" ht="15.75" customHeight="1" x14ac:dyDescent="0.25"/>
    <row r="236" spans="3:26" ht="15.75" customHeight="1" x14ac:dyDescent="0.25"/>
    <row r="237" spans="3:26" ht="15.75" customHeight="1" x14ac:dyDescent="0.25"/>
    <row r="238" spans="3:26" ht="15.75" customHeight="1" x14ac:dyDescent="0.25"/>
    <row r="239" spans="3:26" ht="15.75" customHeight="1" x14ac:dyDescent="0.25"/>
    <row r="240" spans="3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12:H12"/>
  </mergeCells>
  <pageMargins left="0.75" right="0.75" top="1" bottom="1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baseColWidth="10" defaultColWidth="14.44140625" defaultRowHeight="15" customHeight="1" x14ac:dyDescent="0.25"/>
  <cols>
    <col min="1" max="1" width="28.77734375" customWidth="1"/>
    <col min="2" max="2" width="11.109375" customWidth="1"/>
    <col min="3" max="3" width="10.77734375" customWidth="1"/>
    <col min="4" max="4" width="17.44140625" customWidth="1"/>
    <col min="5" max="5" width="17.109375" customWidth="1"/>
    <col min="6" max="6" width="24" customWidth="1"/>
    <col min="7" max="7" width="23.44140625" customWidth="1"/>
    <col min="8" max="8" width="10.6640625" customWidth="1"/>
    <col min="9" max="9" width="22.21875" customWidth="1"/>
    <col min="10" max="10" width="11.33203125" customWidth="1"/>
    <col min="11" max="11" width="12.33203125" customWidth="1"/>
    <col min="12" max="12" width="12.109375" customWidth="1"/>
    <col min="13" max="13" width="10.44140625" customWidth="1"/>
    <col min="14" max="26" width="10.6640625" customWidth="1"/>
  </cols>
  <sheetData>
    <row r="1" spans="1:26" ht="19.95" customHeight="1" x14ac:dyDescent="0.4">
      <c r="A1" s="17" t="str">
        <f>'Est. Res. Proy.'!A2</f>
        <v>Sistema de monitoreo, diagnostico y actuacion para viveros de yerba mate</v>
      </c>
      <c r="B1" s="52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8" customHeight="1" x14ac:dyDescent="0.3">
      <c r="A2" s="54" t="s">
        <v>163</v>
      </c>
      <c r="B2" s="54"/>
      <c r="C2" s="54"/>
      <c r="D2" s="54"/>
      <c r="E2" s="54"/>
      <c r="F2" s="54"/>
      <c r="G2" s="54"/>
      <c r="H2" s="18"/>
      <c r="I2" s="18"/>
      <c r="J2" s="18"/>
      <c r="K2" s="18"/>
      <c r="L2" s="18"/>
      <c r="M2" s="18"/>
      <c r="N2" s="63" t="s">
        <v>133</v>
      </c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spans="1:26" ht="12.75" customHeight="1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49" t="s">
        <v>133</v>
      </c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ht="12.75" customHeight="1" x14ac:dyDescent="0.25">
      <c r="A4" s="209" t="s">
        <v>4</v>
      </c>
      <c r="B4" s="210"/>
      <c r="C4" s="248" t="s">
        <v>25</v>
      </c>
      <c r="D4" s="243"/>
      <c r="E4" s="243"/>
      <c r="F4" s="243"/>
      <c r="G4" s="243"/>
      <c r="H4" s="243"/>
      <c r="I4" s="243"/>
      <c r="J4" s="189" t="s">
        <v>6</v>
      </c>
      <c r="K4" s="189" t="s">
        <v>7</v>
      </c>
      <c r="L4" s="93" t="s">
        <v>42</v>
      </c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12.75" customHeight="1" x14ac:dyDescent="0.25">
      <c r="A5" s="95" t="s">
        <v>8</v>
      </c>
      <c r="B5" s="96" t="s">
        <v>9</v>
      </c>
      <c r="C5" s="97">
        <v>1</v>
      </c>
      <c r="D5" s="97">
        <v>2</v>
      </c>
      <c r="E5" s="97">
        <v>3</v>
      </c>
      <c r="F5" s="97">
        <v>4</v>
      </c>
      <c r="G5" s="97">
        <v>5</v>
      </c>
      <c r="H5" s="97">
        <v>6</v>
      </c>
      <c r="I5" s="97">
        <v>7</v>
      </c>
      <c r="J5" s="98" t="s">
        <v>10</v>
      </c>
      <c r="K5" s="98" t="s">
        <v>10</v>
      </c>
      <c r="L5" s="211" t="s">
        <v>164</v>
      </c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ht="12.75" customHeight="1" x14ac:dyDescent="0.25">
      <c r="A6" s="154" t="s">
        <v>165</v>
      </c>
      <c r="B6" s="99">
        <f>RRHH!C30</f>
        <v>4826318.6999999993</v>
      </c>
      <c r="C6" s="99">
        <f>RRHH!D30</f>
        <v>4826318.6999999993</v>
      </c>
      <c r="D6" s="99">
        <f>RRHH!E30</f>
        <v>4826318.6999999993</v>
      </c>
      <c r="E6" s="99">
        <f>RRHH!F30</f>
        <v>4826318.6999999993</v>
      </c>
      <c r="F6" s="99">
        <f>RRHH!G30</f>
        <v>4826318.6999999993</v>
      </c>
      <c r="G6" s="99">
        <f>RRHH!H30</f>
        <v>4826318.6999999993</v>
      </c>
      <c r="H6" s="99">
        <f>RRHH!I30</f>
        <v>4826318.6999999993</v>
      </c>
      <c r="I6" s="99">
        <f>RRHH!J30</f>
        <v>6227507.9999999991</v>
      </c>
      <c r="J6" s="99">
        <f>RRHH!K30</f>
        <v>89676115.200000003</v>
      </c>
      <c r="K6" s="99">
        <f>RRHH!L30</f>
        <v>185629558.46399999</v>
      </c>
      <c r="L6" s="79">
        <f t="shared" ref="L6:L20" si="0">SUM(B6:K6)</f>
        <v>315317412.56400001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2.75" customHeight="1" x14ac:dyDescent="0.25">
      <c r="A7" s="154" t="s">
        <v>166</v>
      </c>
      <c r="B7" s="79">
        <f>Inversiones!D11</f>
        <v>1060000</v>
      </c>
      <c r="C7" s="79">
        <v>0</v>
      </c>
      <c r="D7" s="79">
        <v>0</v>
      </c>
      <c r="E7" s="79">
        <v>0</v>
      </c>
      <c r="F7" s="79">
        <v>0</v>
      </c>
      <c r="G7" s="79">
        <v>0</v>
      </c>
      <c r="H7" s="79">
        <v>0</v>
      </c>
      <c r="I7" s="79">
        <v>0</v>
      </c>
      <c r="J7" s="79">
        <v>0</v>
      </c>
      <c r="K7" s="79">
        <v>0</v>
      </c>
      <c r="L7" s="79">
        <f t="shared" si="0"/>
        <v>1060000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2.75" customHeight="1" x14ac:dyDescent="0.25">
      <c r="A8" s="154" t="s">
        <v>167</v>
      </c>
      <c r="B8" s="79">
        <f>Inversiones!D20</f>
        <v>6760000</v>
      </c>
      <c r="C8" s="79">
        <v>0</v>
      </c>
      <c r="D8" s="79">
        <v>0</v>
      </c>
      <c r="E8" s="79">
        <v>0</v>
      </c>
      <c r="F8" s="79">
        <v>0</v>
      </c>
      <c r="G8" s="79">
        <v>0</v>
      </c>
      <c r="H8" s="79">
        <v>0</v>
      </c>
      <c r="I8" s="79">
        <v>0</v>
      </c>
      <c r="J8" s="79">
        <v>0</v>
      </c>
      <c r="K8" s="79">
        <v>0</v>
      </c>
      <c r="L8" s="79">
        <f t="shared" si="0"/>
        <v>6760000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75" customHeight="1" x14ac:dyDescent="0.25">
      <c r="A9" s="80" t="s">
        <v>168</v>
      </c>
      <c r="B9" s="79">
        <f>Inversiones!D44</f>
        <v>23785000</v>
      </c>
      <c r="C9" s="79">
        <v>0</v>
      </c>
      <c r="D9" s="79">
        <v>0</v>
      </c>
      <c r="E9" s="79">
        <v>0</v>
      </c>
      <c r="F9" s="79">
        <v>0</v>
      </c>
      <c r="G9" s="79">
        <v>0</v>
      </c>
      <c r="H9" s="79">
        <v>0</v>
      </c>
      <c r="I9" s="79">
        <v>0</v>
      </c>
      <c r="J9" s="79">
        <f>C37*B37</f>
        <v>71355000</v>
      </c>
      <c r="K9" s="79">
        <f>E37*D37</f>
        <v>216443500</v>
      </c>
      <c r="L9" s="79">
        <f t="shared" si="0"/>
        <v>311583500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2.75" customHeight="1" x14ac:dyDescent="0.25">
      <c r="A10" s="154" t="s">
        <v>169</v>
      </c>
      <c r="B10" s="83">
        <v>0</v>
      </c>
      <c r="C10" s="83">
        <v>350000</v>
      </c>
      <c r="D10" s="83">
        <v>350000</v>
      </c>
      <c r="E10" s="83">
        <v>350000</v>
      </c>
      <c r="F10" s="83">
        <v>350000</v>
      </c>
      <c r="G10" s="83">
        <v>350000</v>
      </c>
      <c r="H10" s="83">
        <v>350000</v>
      </c>
      <c r="I10" s="83">
        <v>350000</v>
      </c>
      <c r="J10" s="79">
        <v>4200000</v>
      </c>
      <c r="K10" s="100">
        <v>5040000</v>
      </c>
      <c r="L10" s="79">
        <f t="shared" si="0"/>
        <v>11690000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.75" customHeight="1" x14ac:dyDescent="0.25">
      <c r="A11" s="154" t="s">
        <v>170</v>
      </c>
      <c r="B11" s="83">
        <v>0</v>
      </c>
      <c r="C11" s="83">
        <v>40000</v>
      </c>
      <c r="D11" s="83">
        <v>40000</v>
      </c>
      <c r="E11" s="83">
        <v>40000</v>
      </c>
      <c r="F11" s="83">
        <v>40000</v>
      </c>
      <c r="G11" s="83">
        <v>40000</v>
      </c>
      <c r="H11" s="83">
        <v>40000</v>
      </c>
      <c r="I11" s="83">
        <v>40000</v>
      </c>
      <c r="J11" s="83">
        <v>480000</v>
      </c>
      <c r="K11" s="83">
        <v>576000</v>
      </c>
      <c r="L11" s="79">
        <f t="shared" si="0"/>
        <v>1336000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75" customHeight="1" x14ac:dyDescent="0.25">
      <c r="A12" s="154" t="s">
        <v>171</v>
      </c>
      <c r="B12" s="79">
        <v>60000</v>
      </c>
      <c r="C12" s="79">
        <v>60000</v>
      </c>
      <c r="D12" s="79">
        <v>60000</v>
      </c>
      <c r="E12" s="79">
        <v>60000</v>
      </c>
      <c r="F12" s="79">
        <v>60000</v>
      </c>
      <c r="G12" s="79">
        <v>60000</v>
      </c>
      <c r="H12" s="79">
        <v>60000</v>
      </c>
      <c r="I12" s="79">
        <v>60000</v>
      </c>
      <c r="J12" s="100">
        <v>720000</v>
      </c>
      <c r="K12" s="100">
        <v>864000</v>
      </c>
      <c r="L12" s="79">
        <f t="shared" si="0"/>
        <v>2064000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2.75" customHeight="1" x14ac:dyDescent="0.25">
      <c r="A13" s="101" t="s">
        <v>172</v>
      </c>
      <c r="B13" s="79">
        <v>0</v>
      </c>
      <c r="C13" s="79">
        <v>15000</v>
      </c>
      <c r="D13" s="79">
        <v>15000</v>
      </c>
      <c r="E13" s="79">
        <v>15000</v>
      </c>
      <c r="F13" s="79">
        <v>15000</v>
      </c>
      <c r="G13" s="79">
        <v>15000</v>
      </c>
      <c r="H13" s="79">
        <v>15000</v>
      </c>
      <c r="I13" s="79">
        <v>15000</v>
      </c>
      <c r="J13" s="83">
        <v>180000</v>
      </c>
      <c r="K13" s="83">
        <v>216000</v>
      </c>
      <c r="L13" s="79">
        <f t="shared" si="0"/>
        <v>501000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2.75" customHeight="1" x14ac:dyDescent="0.25">
      <c r="A14" s="102" t="s">
        <v>173</v>
      </c>
      <c r="B14" s="79">
        <v>50000</v>
      </c>
      <c r="C14" s="79">
        <v>50000</v>
      </c>
      <c r="D14" s="79">
        <v>50000</v>
      </c>
      <c r="E14" s="79">
        <v>50000</v>
      </c>
      <c r="F14" s="79">
        <v>50000</v>
      </c>
      <c r="G14" s="79">
        <v>50000</v>
      </c>
      <c r="H14" s="79">
        <v>50000</v>
      </c>
      <c r="I14" s="79">
        <v>50000</v>
      </c>
      <c r="J14" s="83">
        <v>600000</v>
      </c>
      <c r="K14" s="83">
        <v>720000</v>
      </c>
      <c r="L14" s="79">
        <f t="shared" si="0"/>
        <v>1720000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2.75" customHeight="1" x14ac:dyDescent="0.25">
      <c r="A15" s="102" t="s">
        <v>174</v>
      </c>
      <c r="B15" s="79">
        <v>0</v>
      </c>
      <c r="C15" s="79">
        <v>80000</v>
      </c>
      <c r="D15" s="79">
        <v>80000</v>
      </c>
      <c r="E15" s="79">
        <v>80000</v>
      </c>
      <c r="F15" s="79">
        <v>80000</v>
      </c>
      <c r="G15" s="79">
        <v>80000</v>
      </c>
      <c r="H15" s="79">
        <v>80000</v>
      </c>
      <c r="I15" s="79">
        <v>80000</v>
      </c>
      <c r="J15" s="79">
        <v>2400000</v>
      </c>
      <c r="K15" s="79">
        <v>5600000</v>
      </c>
      <c r="L15" s="79">
        <f t="shared" si="0"/>
        <v>8560000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2.75" customHeight="1" x14ac:dyDescent="0.25">
      <c r="A16" s="102" t="s">
        <v>175</v>
      </c>
      <c r="B16" s="79">
        <v>0</v>
      </c>
      <c r="C16" s="79">
        <v>0</v>
      </c>
      <c r="D16" s="79">
        <v>0</v>
      </c>
      <c r="E16" s="79">
        <v>0</v>
      </c>
      <c r="F16" s="79">
        <v>0</v>
      </c>
      <c r="G16" s="79">
        <v>0</v>
      </c>
      <c r="H16" s="79">
        <v>0</v>
      </c>
      <c r="I16" s="79">
        <v>0</v>
      </c>
      <c r="J16" s="79">
        <v>400000</v>
      </c>
      <c r="K16" s="79">
        <v>700000</v>
      </c>
      <c r="L16" s="79">
        <f t="shared" si="0"/>
        <v>1100000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2.75" customHeight="1" x14ac:dyDescent="0.25">
      <c r="A17" s="102" t="s">
        <v>176</v>
      </c>
      <c r="B17" s="212">
        <v>100000</v>
      </c>
      <c r="C17" s="212">
        <v>100000</v>
      </c>
      <c r="D17" s="212">
        <v>100000</v>
      </c>
      <c r="E17" s="212">
        <v>100000</v>
      </c>
      <c r="F17" s="212">
        <v>100000</v>
      </c>
      <c r="G17" s="212">
        <v>100000</v>
      </c>
      <c r="H17" s="212">
        <v>100000</v>
      </c>
      <c r="I17" s="212">
        <v>100000</v>
      </c>
      <c r="J17" s="212">
        <v>1200000</v>
      </c>
      <c r="K17" s="212">
        <v>1440000</v>
      </c>
      <c r="L17" s="79">
        <f t="shared" si="0"/>
        <v>3440000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2.75" customHeight="1" x14ac:dyDescent="0.25">
      <c r="A18" s="102" t="s">
        <v>177</v>
      </c>
      <c r="B18" s="79">
        <v>0</v>
      </c>
      <c r="C18" s="79">
        <v>60000</v>
      </c>
      <c r="D18" s="79">
        <v>60000</v>
      </c>
      <c r="E18" s="79">
        <v>60000</v>
      </c>
      <c r="F18" s="79">
        <v>60000</v>
      </c>
      <c r="G18" s="79">
        <v>60000</v>
      </c>
      <c r="H18" s="79">
        <v>60000</v>
      </c>
      <c r="I18" s="79">
        <v>60000</v>
      </c>
      <c r="J18" s="79">
        <v>1800000</v>
      </c>
      <c r="K18" s="79">
        <v>3200000</v>
      </c>
      <c r="L18" s="79">
        <f t="shared" si="0"/>
        <v>5420000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25">
      <c r="A19" s="102" t="s">
        <v>178</v>
      </c>
      <c r="B19" s="83">
        <v>0</v>
      </c>
      <c r="C19" s="79">
        <v>0</v>
      </c>
      <c r="D19" s="79">
        <v>0</v>
      </c>
      <c r="E19" s="79">
        <v>0</v>
      </c>
      <c r="F19" s="79">
        <v>0</v>
      </c>
      <c r="G19" s="79">
        <v>0</v>
      </c>
      <c r="H19" s="79">
        <v>150000</v>
      </c>
      <c r="I19" s="79">
        <v>150000</v>
      </c>
      <c r="J19" s="83">
        <v>2000000</v>
      </c>
      <c r="K19" s="83">
        <v>3000000</v>
      </c>
      <c r="L19" s="79">
        <f t="shared" si="0"/>
        <v>5300000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75" customHeight="1" x14ac:dyDescent="0.25">
      <c r="A20" s="102"/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79">
        <f t="shared" si="0"/>
        <v>0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75" customHeight="1" x14ac:dyDescent="0.25">
      <c r="A21" s="213" t="s">
        <v>179</v>
      </c>
      <c r="B21" s="105">
        <f t="shared" ref="B21:L21" si="1">SUM(B6:B20)</f>
        <v>36641318.700000003</v>
      </c>
      <c r="C21" s="105">
        <f t="shared" si="1"/>
        <v>5581318.6999999993</v>
      </c>
      <c r="D21" s="105">
        <f t="shared" si="1"/>
        <v>5581318.6999999993</v>
      </c>
      <c r="E21" s="105">
        <f t="shared" si="1"/>
        <v>5581318.6999999993</v>
      </c>
      <c r="F21" s="105">
        <f t="shared" si="1"/>
        <v>5581318.6999999993</v>
      </c>
      <c r="G21" s="105">
        <f t="shared" si="1"/>
        <v>5581318.6999999993</v>
      </c>
      <c r="H21" s="105">
        <f t="shared" si="1"/>
        <v>5731318.6999999993</v>
      </c>
      <c r="I21" s="105">
        <f t="shared" si="1"/>
        <v>7132507.9999999991</v>
      </c>
      <c r="J21" s="105">
        <f t="shared" si="1"/>
        <v>175011115.19999999</v>
      </c>
      <c r="K21" s="105">
        <f t="shared" si="1"/>
        <v>423429058.46399999</v>
      </c>
      <c r="L21" s="105">
        <f t="shared" si="1"/>
        <v>675851912.56400001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2.7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7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75" customHeight="1" x14ac:dyDescent="0.25">
      <c r="A24" s="246" t="s">
        <v>180</v>
      </c>
      <c r="B24" s="247"/>
      <c r="C24" s="18"/>
      <c r="D24" s="85"/>
      <c r="E24" s="18"/>
      <c r="F24" s="18"/>
      <c r="G24" s="18"/>
      <c r="H24" s="106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75" customHeight="1" x14ac:dyDescent="0.25">
      <c r="A25" s="244" t="s">
        <v>181</v>
      </c>
      <c r="B25" s="245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 t="s">
        <v>133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75" customHeight="1" x14ac:dyDescent="0.25">
      <c r="A26" s="107" t="s">
        <v>84</v>
      </c>
      <c r="B26" s="108" t="s">
        <v>18</v>
      </c>
      <c r="C26" s="18" t="s">
        <v>133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 t="s">
        <v>133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75" customHeight="1" x14ac:dyDescent="0.25">
      <c r="A27" s="102" t="s">
        <v>182</v>
      </c>
      <c r="B27" s="108" t="s">
        <v>18</v>
      </c>
      <c r="C27" s="18" t="s">
        <v>183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2.75" customHeight="1" x14ac:dyDescent="0.25">
      <c r="A28" s="102" t="s">
        <v>184</v>
      </c>
      <c r="B28" s="108" t="s">
        <v>18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 t="s">
        <v>133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75" customHeight="1" x14ac:dyDescent="0.25">
      <c r="A29" s="109" t="s">
        <v>185</v>
      </c>
      <c r="B29" s="110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75" customHeight="1" x14ac:dyDescent="0.25">
      <c r="A30" s="109" t="s">
        <v>186</v>
      </c>
      <c r="B30" s="110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75" customHeight="1" x14ac:dyDescent="0.25">
      <c r="A31" s="18"/>
      <c r="B31" s="18"/>
      <c r="C31" s="18"/>
      <c r="D31" s="18"/>
      <c r="E31" s="18"/>
      <c r="F31" s="18"/>
      <c r="G31" s="18"/>
      <c r="H31" s="18"/>
      <c r="I31" s="18" t="s">
        <v>187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7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7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7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 x14ac:dyDescent="0.25">
      <c r="A35" s="204" t="s">
        <v>156</v>
      </c>
      <c r="B35" s="111" t="s">
        <v>188</v>
      </c>
      <c r="C35" s="112" t="s">
        <v>189</v>
      </c>
      <c r="D35" s="111" t="s">
        <v>188</v>
      </c>
      <c r="E35" s="112" t="s">
        <v>189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75" customHeight="1" x14ac:dyDescent="0.25">
      <c r="A36" s="78"/>
      <c r="B36" s="88" t="s">
        <v>159</v>
      </c>
      <c r="C36" s="88" t="s">
        <v>6</v>
      </c>
      <c r="D36" s="88" t="s">
        <v>160</v>
      </c>
      <c r="E36" s="88" t="s">
        <v>7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75" customHeight="1" x14ac:dyDescent="0.25">
      <c r="A37" s="113" t="s">
        <v>190</v>
      </c>
      <c r="B37" s="91">
        <f>Inversiones!D44/Inversiones!C29</f>
        <v>23785000</v>
      </c>
      <c r="C37" s="90">
        <v>3</v>
      </c>
      <c r="D37" s="91">
        <f>B37+B37*'Est. Res. Proy.'!E20</f>
        <v>30920500</v>
      </c>
      <c r="E37" s="90">
        <v>7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7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7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7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7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7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7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7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7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7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7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7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7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7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7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7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7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7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7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7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7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7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7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7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7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7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7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7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7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7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7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7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7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7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7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7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7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7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7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7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7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7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7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7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7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7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7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7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7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7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7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7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7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7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7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7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7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7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7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7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7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7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7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7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7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7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7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7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7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7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7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7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7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7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7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7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7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7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7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7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7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7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7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7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7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7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7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7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7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7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7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7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7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7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7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7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7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7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7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7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7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7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7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7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7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7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7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7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7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7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7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7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7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7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7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7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7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7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7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7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7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7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7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7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7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7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7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7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7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7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7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7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7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7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7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7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7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7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7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7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7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7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7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7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7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7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7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7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7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7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7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7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7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7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7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7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7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7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7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7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7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7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7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7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7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7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7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7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7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7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7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7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7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7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7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7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7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7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7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7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7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7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7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7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7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7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7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2.7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2.7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2.7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 x14ac:dyDescent="0.25"/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5:B25"/>
    <mergeCell ref="A24:B24"/>
    <mergeCell ref="C4:I4"/>
  </mergeCells>
  <pageMargins left="0.78740157480314998" right="0.78740157480314998" top="0.78740157480314998" bottom="0.78740157480314998" header="0" footer="0"/>
  <pageSetup scale="65" orientation="landscape"/>
  <headerFooter>
    <oddFooter>&amp;LCEA Confidential&amp;C&amp;A&amp;R&amp;D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1000"/>
  <sheetViews>
    <sheetView showGridLines="0" tabSelected="1" workbookViewId="0">
      <selection activeCell="J21" sqref="J21"/>
    </sheetView>
  </sheetViews>
  <sheetFormatPr baseColWidth="10" defaultColWidth="14.44140625" defaultRowHeight="15" customHeight="1" x14ac:dyDescent="0.25"/>
  <cols>
    <col min="1" max="1" width="26.6640625" customWidth="1"/>
    <col min="2" max="2" width="12" customWidth="1"/>
    <col min="3" max="3" width="10.6640625" bestFit="1" customWidth="1"/>
    <col min="4" max="4" width="12" customWidth="1"/>
    <col min="5" max="5" width="11.6640625" customWidth="1"/>
    <col min="6" max="6" width="11.33203125" customWidth="1"/>
    <col min="7" max="7" width="13.44140625" customWidth="1"/>
    <col min="8" max="8" width="11.6640625" customWidth="1"/>
    <col min="9" max="9" width="14.109375" customWidth="1"/>
    <col min="10" max="10" width="10.6640625" bestFit="1" customWidth="1"/>
    <col min="11" max="11" width="11.109375" customWidth="1"/>
    <col min="12" max="13" width="12.6640625" bestFit="1" customWidth="1"/>
    <col min="14" max="14" width="2.109375" customWidth="1"/>
    <col min="15" max="15" width="2" bestFit="1" customWidth="1"/>
    <col min="16" max="17" width="2.109375" customWidth="1"/>
    <col min="18" max="19" width="6.33203125" customWidth="1"/>
    <col min="20" max="20" width="6.6640625" bestFit="1" customWidth="1"/>
    <col min="21" max="22" width="9.109375" customWidth="1"/>
    <col min="23" max="25" width="1.6640625" customWidth="1"/>
    <col min="26" max="29" width="9.109375" customWidth="1"/>
    <col min="30" max="30" width="10.6640625" customWidth="1"/>
    <col min="31" max="37" width="3" customWidth="1"/>
    <col min="38" max="38" width="6" customWidth="1"/>
  </cols>
  <sheetData>
    <row r="1" spans="1:37" ht="19.95" customHeight="1" x14ac:dyDescent="0.4">
      <c r="A1" s="17" t="str">
        <f>'Est. Res. Proy.'!A2</f>
        <v>Sistema de monitoreo, diagnostico y actuacion para viveros de yerba mate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</row>
    <row r="2" spans="1:37" ht="18" customHeight="1" x14ac:dyDescent="0.3">
      <c r="A2" s="54" t="s">
        <v>165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5"/>
      <c r="O2" s="116"/>
      <c r="P2" s="114" t="s">
        <v>133</v>
      </c>
      <c r="Q2" s="116"/>
      <c r="R2" s="116"/>
      <c r="S2" s="116"/>
      <c r="T2" s="116"/>
      <c r="U2" s="116"/>
      <c r="V2" s="116"/>
      <c r="W2" s="18"/>
      <c r="X2" s="116"/>
      <c r="Y2" s="115"/>
      <c r="Z2" s="116"/>
      <c r="AA2" s="114"/>
      <c r="AB2" s="116"/>
      <c r="AC2" s="116"/>
      <c r="AD2" s="116"/>
      <c r="AE2" s="18"/>
      <c r="AF2" s="18"/>
      <c r="AG2" s="18"/>
      <c r="AH2" s="18"/>
      <c r="AI2" s="18"/>
      <c r="AJ2" s="18"/>
      <c r="AK2" s="116"/>
    </row>
    <row r="3" spans="1:37" ht="12.75" customHeight="1" x14ac:dyDescent="0.3">
      <c r="A3" s="54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16"/>
      <c r="O3" s="116"/>
      <c r="P3" s="116"/>
      <c r="Q3" s="116"/>
      <c r="R3" s="116"/>
      <c r="S3" s="116"/>
      <c r="T3" s="116"/>
      <c r="U3" s="116"/>
      <c r="V3" s="116"/>
      <c r="W3" s="18"/>
      <c r="X3" s="116"/>
      <c r="Y3" s="116"/>
      <c r="Z3" s="116"/>
      <c r="AA3" s="116"/>
      <c r="AB3" s="116"/>
      <c r="AC3" s="116"/>
      <c r="AD3" s="116"/>
      <c r="AE3" s="18"/>
      <c r="AF3" s="18"/>
      <c r="AG3" s="18"/>
      <c r="AH3" s="18"/>
      <c r="AI3" s="18"/>
      <c r="AJ3" s="18"/>
      <c r="AK3" s="116"/>
    </row>
    <row r="4" spans="1:37" ht="12.75" customHeight="1" x14ac:dyDescent="0.25">
      <c r="A4" s="214" t="s">
        <v>4</v>
      </c>
      <c r="B4" s="189" t="s">
        <v>191</v>
      </c>
      <c r="C4" s="189" t="s">
        <v>192</v>
      </c>
      <c r="D4" s="189" t="s">
        <v>191</v>
      </c>
      <c r="E4" s="189" t="s">
        <v>193</v>
      </c>
      <c r="F4" s="189" t="s">
        <v>194</v>
      </c>
      <c r="G4" s="189" t="s">
        <v>195</v>
      </c>
      <c r="H4" s="189" t="s">
        <v>196</v>
      </c>
      <c r="I4" s="189" t="s">
        <v>197</v>
      </c>
      <c r="J4" s="93" t="s">
        <v>9</v>
      </c>
      <c r="K4" s="250" t="s">
        <v>25</v>
      </c>
      <c r="L4" s="243"/>
      <c r="M4" s="243"/>
      <c r="N4" s="243"/>
      <c r="O4" s="243"/>
      <c r="P4" s="243"/>
      <c r="Q4" s="243"/>
      <c r="R4" s="72" t="s">
        <v>6</v>
      </c>
      <c r="S4" s="72" t="s">
        <v>7</v>
      </c>
      <c r="T4" s="93" t="s">
        <v>42</v>
      </c>
      <c r="U4" s="94"/>
      <c r="V4" s="94"/>
      <c r="W4" s="94"/>
      <c r="X4" s="117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</row>
    <row r="5" spans="1:37" ht="12.75" customHeight="1" x14ac:dyDescent="0.25">
      <c r="A5" s="95" t="s">
        <v>8</v>
      </c>
      <c r="B5" s="78" t="s">
        <v>198</v>
      </c>
      <c r="C5" s="78" t="s">
        <v>199</v>
      </c>
      <c r="D5" s="78" t="s">
        <v>200</v>
      </c>
      <c r="E5" s="78" t="s">
        <v>201</v>
      </c>
      <c r="F5" s="78" t="s">
        <v>202</v>
      </c>
      <c r="G5" s="78" t="s">
        <v>203</v>
      </c>
      <c r="H5" s="78"/>
      <c r="I5" s="78" t="s">
        <v>204</v>
      </c>
      <c r="J5" s="215"/>
      <c r="K5" s="97">
        <v>1</v>
      </c>
      <c r="L5" s="97">
        <v>2</v>
      </c>
      <c r="M5" s="97">
        <v>3</v>
      </c>
      <c r="N5" s="97">
        <v>4</v>
      </c>
      <c r="O5" s="97">
        <v>5</v>
      </c>
      <c r="P5" s="97">
        <v>6</v>
      </c>
      <c r="Q5" s="97">
        <v>7</v>
      </c>
      <c r="R5" s="98" t="s">
        <v>10</v>
      </c>
      <c r="S5" s="98" t="s">
        <v>10</v>
      </c>
      <c r="T5" s="207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</row>
    <row r="6" spans="1:37" ht="12.75" customHeight="1" x14ac:dyDescent="0.25">
      <c r="A6" s="80" t="s">
        <v>205</v>
      </c>
      <c r="B6" s="118">
        <v>900000</v>
      </c>
      <c r="C6" s="81">
        <f>B6*$B$15</f>
        <v>171000</v>
      </c>
      <c r="D6" s="81">
        <f>B6+C6</f>
        <v>1071000</v>
      </c>
      <c r="E6" s="81">
        <f>D6*$B$16</f>
        <v>89214.3</v>
      </c>
      <c r="F6" s="81">
        <f>D6*$B$17</f>
        <v>89214.3</v>
      </c>
      <c r="G6" s="81">
        <f>D6*$B$18</f>
        <v>107100</v>
      </c>
      <c r="H6" s="81">
        <f>D6*$B$19</f>
        <v>44660.700000000004</v>
      </c>
      <c r="I6" s="216">
        <f>SUM(D6:H6)</f>
        <v>1401189.3</v>
      </c>
      <c r="J6" s="119">
        <v>1</v>
      </c>
      <c r="K6" s="120">
        <f t="shared" ref="K6:P8" si="0">J6</f>
        <v>1</v>
      </c>
      <c r="L6" s="121">
        <f t="shared" si="0"/>
        <v>1</v>
      </c>
      <c r="M6" s="121">
        <f t="shared" si="0"/>
        <v>1</v>
      </c>
      <c r="N6" s="121">
        <f t="shared" si="0"/>
        <v>1</v>
      </c>
      <c r="O6" s="121">
        <f t="shared" si="0"/>
        <v>1</v>
      </c>
      <c r="P6" s="121">
        <f t="shared" si="0"/>
        <v>1</v>
      </c>
      <c r="Q6" s="121">
        <v>1</v>
      </c>
      <c r="R6" s="122">
        <v>12</v>
      </c>
      <c r="S6" s="122">
        <v>12</v>
      </c>
      <c r="T6" s="123">
        <f>SUM(J6:S6)</f>
        <v>32</v>
      </c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</row>
    <row r="7" spans="1:37" ht="12.75" customHeight="1" x14ac:dyDescent="0.25">
      <c r="A7" s="80" t="s">
        <v>206</v>
      </c>
      <c r="B7" s="118">
        <v>1000000</v>
      </c>
      <c r="C7" s="81">
        <f>B7*$B$15</f>
        <v>190000</v>
      </c>
      <c r="D7" s="81">
        <f>B7+C7</f>
        <v>1190000</v>
      </c>
      <c r="E7" s="81">
        <f>D7*$B$16</f>
        <v>99127</v>
      </c>
      <c r="F7" s="81">
        <f>D7*$B$17</f>
        <v>99127</v>
      </c>
      <c r="G7" s="81">
        <f>D7*$B$18</f>
        <v>119000</v>
      </c>
      <c r="H7" s="81">
        <f>D7*$B$19</f>
        <v>49623</v>
      </c>
      <c r="I7" s="216">
        <f>SUM(D7:H7)</f>
        <v>1556877</v>
      </c>
      <c r="J7" s="124">
        <v>1</v>
      </c>
      <c r="K7" s="125">
        <f t="shared" si="0"/>
        <v>1</v>
      </c>
      <c r="L7" s="125">
        <f t="shared" si="0"/>
        <v>1</v>
      </c>
      <c r="M7" s="125">
        <f t="shared" si="0"/>
        <v>1</v>
      </c>
      <c r="N7" s="125">
        <f t="shared" si="0"/>
        <v>1</v>
      </c>
      <c r="O7" s="125">
        <f t="shared" si="0"/>
        <v>1</v>
      </c>
      <c r="P7" s="125">
        <f t="shared" si="0"/>
        <v>1</v>
      </c>
      <c r="Q7" s="125">
        <f>P7</f>
        <v>1</v>
      </c>
      <c r="R7" s="122">
        <v>12</v>
      </c>
      <c r="S7" s="122">
        <v>24</v>
      </c>
      <c r="T7" s="123">
        <f>SUM(J7:S7)</f>
        <v>44</v>
      </c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</row>
    <row r="8" spans="1:37" ht="12.75" customHeight="1" x14ac:dyDescent="0.25">
      <c r="A8" s="80" t="s">
        <v>207</v>
      </c>
      <c r="B8" s="118">
        <v>1200000</v>
      </c>
      <c r="C8" s="81">
        <f>B8*$B$15</f>
        <v>228000</v>
      </c>
      <c r="D8" s="126">
        <f>B8+C8</f>
        <v>1428000</v>
      </c>
      <c r="E8" s="81">
        <f>D8*$B$16</f>
        <v>118952.4</v>
      </c>
      <c r="F8" s="81">
        <f>D8*$B$17</f>
        <v>118952.4</v>
      </c>
      <c r="G8" s="81">
        <f>D8*$B$18</f>
        <v>142800</v>
      </c>
      <c r="H8" s="81">
        <f>D8*$B$19</f>
        <v>59547.6</v>
      </c>
      <c r="I8" s="127">
        <f>SUM(D8:H8)</f>
        <v>1868252.4</v>
      </c>
      <c r="J8" s="124">
        <v>1</v>
      </c>
      <c r="K8" s="125">
        <f t="shared" si="0"/>
        <v>1</v>
      </c>
      <c r="L8" s="125">
        <f t="shared" si="0"/>
        <v>1</v>
      </c>
      <c r="M8" s="125">
        <f t="shared" si="0"/>
        <v>1</v>
      </c>
      <c r="N8" s="125">
        <f t="shared" si="0"/>
        <v>1</v>
      </c>
      <c r="O8" s="125">
        <f t="shared" si="0"/>
        <v>1</v>
      </c>
      <c r="P8" s="125">
        <f t="shared" si="0"/>
        <v>1</v>
      </c>
      <c r="Q8" s="125">
        <f>P8</f>
        <v>1</v>
      </c>
      <c r="R8" s="122">
        <v>12</v>
      </c>
      <c r="S8" s="122">
        <v>12</v>
      </c>
      <c r="T8" s="123">
        <f>SUM(J8:S8)</f>
        <v>32</v>
      </c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</row>
    <row r="9" spans="1:37" ht="12.75" customHeight="1" x14ac:dyDescent="0.25">
      <c r="A9" s="128" t="s">
        <v>208</v>
      </c>
      <c r="B9" s="81">
        <v>900000</v>
      </c>
      <c r="C9" s="81">
        <f>B9*$B$15</f>
        <v>171000</v>
      </c>
      <c r="D9" s="126">
        <f>B9+C9</f>
        <v>1071000</v>
      </c>
      <c r="E9" s="81">
        <f>D9*$B$16</f>
        <v>89214.3</v>
      </c>
      <c r="F9" s="81">
        <f>D9*$B$17</f>
        <v>89214.3</v>
      </c>
      <c r="G9" s="81">
        <f>D9*$B$18</f>
        <v>107100</v>
      </c>
      <c r="H9" s="81">
        <f>D9*$B$19</f>
        <v>44660.700000000004</v>
      </c>
      <c r="I9" s="127">
        <f>SUM(D9:H9)</f>
        <v>1401189.3</v>
      </c>
      <c r="J9" s="119">
        <v>0</v>
      </c>
      <c r="K9" s="121">
        <v>0</v>
      </c>
      <c r="L9" s="129">
        <v>0</v>
      </c>
      <c r="M9" s="129">
        <v>0</v>
      </c>
      <c r="N9" s="129">
        <v>0</v>
      </c>
      <c r="O9" s="129">
        <v>0</v>
      </c>
      <c r="P9" s="121">
        <v>0</v>
      </c>
      <c r="Q9" s="121">
        <v>1</v>
      </c>
      <c r="R9" s="122">
        <v>12</v>
      </c>
      <c r="S9" s="122">
        <v>24</v>
      </c>
      <c r="T9" s="123">
        <f>SUM(J9:S9)</f>
        <v>37</v>
      </c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</row>
    <row r="10" spans="1:37" ht="12.75" customHeight="1" x14ac:dyDescent="0.25">
      <c r="A10" s="102" t="s">
        <v>209</v>
      </c>
      <c r="B10" s="81">
        <v>1000000</v>
      </c>
      <c r="C10" s="81">
        <f>B10*$B$15</f>
        <v>190000</v>
      </c>
      <c r="D10" s="126">
        <f>B10+C10</f>
        <v>1190000</v>
      </c>
      <c r="E10" s="81">
        <f>D10*$B$16</f>
        <v>99127</v>
      </c>
      <c r="F10" s="81">
        <f>D10*$B$17</f>
        <v>99127</v>
      </c>
      <c r="G10" s="81">
        <f>D10*$B$18</f>
        <v>119000</v>
      </c>
      <c r="H10" s="81">
        <f>D10*$B$19</f>
        <v>49623</v>
      </c>
      <c r="I10" s="127">
        <f>SUM(D10:H10)</f>
        <v>1556877</v>
      </c>
      <c r="J10" s="119">
        <v>0</v>
      </c>
      <c r="K10" s="121">
        <v>0</v>
      </c>
      <c r="L10" s="121">
        <v>0</v>
      </c>
      <c r="M10" s="121">
        <v>0</v>
      </c>
      <c r="N10" s="121">
        <v>0</v>
      </c>
      <c r="O10" s="121">
        <v>0</v>
      </c>
      <c r="P10" s="121">
        <v>0</v>
      </c>
      <c r="Q10" s="121">
        <v>0</v>
      </c>
      <c r="R10" s="122">
        <v>0</v>
      </c>
      <c r="S10" s="122">
        <v>12</v>
      </c>
      <c r="T10" s="123">
        <f>SUM(J10:S10)</f>
        <v>12</v>
      </c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</row>
    <row r="11" spans="1:37" ht="12.75" customHeight="1" x14ac:dyDescent="0.25">
      <c r="A11" s="95" t="s">
        <v>210</v>
      </c>
      <c r="B11" s="130">
        <f t="shared" ref="B11:T11" si="1">SUM(B6:B10)</f>
        <v>5000000</v>
      </c>
      <c r="C11" s="130">
        <f t="shared" si="1"/>
        <v>950000</v>
      </c>
      <c r="D11" s="130">
        <f t="shared" si="1"/>
        <v>5950000</v>
      </c>
      <c r="E11" s="130">
        <f t="shared" si="1"/>
        <v>495634.99999999994</v>
      </c>
      <c r="F11" s="130">
        <f t="shared" si="1"/>
        <v>495634.99999999994</v>
      </c>
      <c r="G11" s="130">
        <f t="shared" si="1"/>
        <v>595000</v>
      </c>
      <c r="H11" s="130">
        <f t="shared" si="1"/>
        <v>248115.00000000003</v>
      </c>
      <c r="I11" s="130">
        <f t="shared" si="1"/>
        <v>7784384.9999999991</v>
      </c>
      <c r="J11" s="217">
        <f t="shared" si="1"/>
        <v>3</v>
      </c>
      <c r="K11" s="78">
        <f t="shared" si="1"/>
        <v>3</v>
      </c>
      <c r="L11" s="78">
        <f t="shared" si="1"/>
        <v>3</v>
      </c>
      <c r="M11" s="78">
        <f t="shared" si="1"/>
        <v>3</v>
      </c>
      <c r="N11" s="78">
        <f t="shared" si="1"/>
        <v>3</v>
      </c>
      <c r="O11" s="78">
        <f t="shared" si="1"/>
        <v>3</v>
      </c>
      <c r="P11" s="78">
        <f t="shared" si="1"/>
        <v>3</v>
      </c>
      <c r="Q11" s="78">
        <f t="shared" si="1"/>
        <v>4</v>
      </c>
      <c r="R11" s="78">
        <f t="shared" si="1"/>
        <v>48</v>
      </c>
      <c r="S11" s="78">
        <f t="shared" si="1"/>
        <v>84</v>
      </c>
      <c r="T11" s="131">
        <f t="shared" si="1"/>
        <v>157</v>
      </c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</row>
    <row r="12" spans="1:37" ht="12.7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</row>
    <row r="13" spans="1:37" ht="12.75" customHeight="1" x14ac:dyDescent="0.25">
      <c r="A13" s="15" t="s">
        <v>211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spans="1:37" ht="12.7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</row>
    <row r="15" spans="1:37" ht="12.75" customHeight="1" x14ac:dyDescent="0.25">
      <c r="A15" s="132" t="s">
        <v>212</v>
      </c>
      <c r="B15" s="133">
        <v>0.19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</row>
    <row r="16" spans="1:37" ht="12.75" customHeight="1" x14ac:dyDescent="0.25">
      <c r="A16" s="134" t="s">
        <v>193</v>
      </c>
      <c r="B16" s="135">
        <v>8.3299999999999999E-2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 t="s">
        <v>133</v>
      </c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</row>
    <row r="17" spans="1:38" ht="12.75" customHeight="1" x14ac:dyDescent="0.25">
      <c r="A17" s="134" t="s">
        <v>213</v>
      </c>
      <c r="B17" s="135">
        <v>8.3299999999999999E-2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 t="s">
        <v>133</v>
      </c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</row>
    <row r="18" spans="1:38" ht="12.75" customHeight="1" x14ac:dyDescent="0.25">
      <c r="A18" s="136" t="s">
        <v>214</v>
      </c>
      <c r="B18" s="135">
        <v>0.1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 t="s">
        <v>133</v>
      </c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</row>
    <row r="19" spans="1:38" ht="12.75" customHeight="1" x14ac:dyDescent="0.25">
      <c r="A19" s="137" t="s">
        <v>196</v>
      </c>
      <c r="B19" s="138">
        <v>4.1700000000000001E-2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 t="s">
        <v>133</v>
      </c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</row>
    <row r="20" spans="1:38" ht="12.7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 t="s">
        <v>133</v>
      </c>
      <c r="X20" s="18" t="s">
        <v>133</v>
      </c>
      <c r="Y20" s="18" t="s">
        <v>133</v>
      </c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</row>
    <row r="21" spans="1:38" ht="12.75" customHeight="1" x14ac:dyDescent="0.25">
      <c r="A21" s="56" t="s">
        <v>215</v>
      </c>
      <c r="B21" s="18" t="s">
        <v>216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</row>
    <row r="22" spans="1:38" ht="12.7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8" ht="12.75" customHeight="1" x14ac:dyDescent="0.25">
      <c r="A23" s="218" t="s">
        <v>4</v>
      </c>
      <c r="B23" s="139" t="s">
        <v>217</v>
      </c>
      <c r="C23" s="139" t="s">
        <v>218</v>
      </c>
      <c r="D23" s="249" t="s">
        <v>25</v>
      </c>
      <c r="E23" s="243"/>
      <c r="F23" s="243"/>
      <c r="G23" s="243"/>
      <c r="H23" s="243"/>
      <c r="I23" s="243"/>
      <c r="J23" s="247"/>
      <c r="K23" s="219" t="s">
        <v>6</v>
      </c>
      <c r="L23" s="219" t="s">
        <v>7</v>
      </c>
      <c r="M23" s="139" t="s">
        <v>42</v>
      </c>
      <c r="N23" s="18"/>
      <c r="O23" s="18"/>
      <c r="P23" s="18"/>
      <c r="Q23" s="18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</row>
    <row r="24" spans="1:38" ht="12.75" customHeight="1" x14ac:dyDescent="0.25">
      <c r="A24" s="220" t="s">
        <v>8</v>
      </c>
      <c r="B24" s="221" t="s">
        <v>219</v>
      </c>
      <c r="C24" s="140"/>
      <c r="D24" s="140">
        <v>1</v>
      </c>
      <c r="E24" s="97">
        <v>2</v>
      </c>
      <c r="F24" s="97">
        <v>3</v>
      </c>
      <c r="G24" s="97">
        <v>4</v>
      </c>
      <c r="H24" s="97">
        <v>5</v>
      </c>
      <c r="I24" s="97">
        <v>6</v>
      </c>
      <c r="J24" s="97">
        <v>7</v>
      </c>
      <c r="K24" s="98" t="s">
        <v>10</v>
      </c>
      <c r="L24" s="98" t="s">
        <v>10</v>
      </c>
      <c r="M24" s="211" t="s">
        <v>220</v>
      </c>
      <c r="N24" s="18"/>
      <c r="O24" s="18"/>
      <c r="P24" s="18"/>
      <c r="Q24" s="18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</row>
    <row r="25" spans="1:38" ht="12.75" customHeight="1" x14ac:dyDescent="0.25">
      <c r="A25" s="80" t="s">
        <v>221</v>
      </c>
      <c r="B25" s="141">
        <f>I6</f>
        <v>1401189.3</v>
      </c>
      <c r="C25" s="142">
        <f t="shared" ref="C25:J25" si="2">$B$25*J6</f>
        <v>1401189.3</v>
      </c>
      <c r="D25" s="142">
        <f t="shared" si="2"/>
        <v>1401189.3</v>
      </c>
      <c r="E25" s="142">
        <f t="shared" si="2"/>
        <v>1401189.3</v>
      </c>
      <c r="F25" s="142">
        <f t="shared" si="2"/>
        <v>1401189.3</v>
      </c>
      <c r="G25" s="142">
        <f t="shared" si="2"/>
        <v>1401189.3</v>
      </c>
      <c r="H25" s="142">
        <f t="shared" si="2"/>
        <v>1401189.3</v>
      </c>
      <c r="I25" s="142">
        <f t="shared" si="2"/>
        <v>1401189.3</v>
      </c>
      <c r="J25" s="142">
        <f t="shared" si="2"/>
        <v>1401189.3</v>
      </c>
      <c r="K25" s="141">
        <f>B25*1.2*R6</f>
        <v>20177125.919999998</v>
      </c>
      <c r="L25" s="141">
        <f>B25*1.2*1.2*S6</f>
        <v>24212551.103999995</v>
      </c>
      <c r="M25" s="143">
        <f>SUM(D25:L25)</f>
        <v>54198002.123999998</v>
      </c>
      <c r="N25" s="18"/>
      <c r="O25" s="18"/>
      <c r="P25" s="18"/>
      <c r="Q25" s="18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</row>
    <row r="26" spans="1:38" ht="12.75" customHeight="1" x14ac:dyDescent="0.25">
      <c r="A26" s="154" t="s">
        <v>222</v>
      </c>
      <c r="B26" s="141">
        <f>I7</f>
        <v>1556877</v>
      </c>
      <c r="C26" s="141">
        <f t="shared" ref="C26:J26" si="3">$B$26*J7</f>
        <v>1556877</v>
      </c>
      <c r="D26" s="141">
        <f t="shared" si="3"/>
        <v>1556877</v>
      </c>
      <c r="E26" s="141">
        <f t="shared" si="3"/>
        <v>1556877</v>
      </c>
      <c r="F26" s="141">
        <f t="shared" si="3"/>
        <v>1556877</v>
      </c>
      <c r="G26" s="141">
        <f t="shared" si="3"/>
        <v>1556877</v>
      </c>
      <c r="H26" s="141">
        <f t="shared" si="3"/>
        <v>1556877</v>
      </c>
      <c r="I26" s="141">
        <f t="shared" si="3"/>
        <v>1556877</v>
      </c>
      <c r="J26" s="141">
        <f t="shared" si="3"/>
        <v>1556877</v>
      </c>
      <c r="K26" s="141">
        <f>B26*1.2*R7</f>
        <v>22419028.799999997</v>
      </c>
      <c r="L26" s="141">
        <f>B26*1.2*1.2*S7</f>
        <v>53805669.119999997</v>
      </c>
      <c r="M26" s="143">
        <f>SUM(D26:L26)</f>
        <v>87122836.919999987</v>
      </c>
      <c r="N26" s="18"/>
      <c r="O26" s="18"/>
      <c r="P26" s="18"/>
      <c r="Q26" s="18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</row>
    <row r="27" spans="1:38" ht="12.75" customHeight="1" x14ac:dyDescent="0.25">
      <c r="A27" s="80" t="s">
        <v>223</v>
      </c>
      <c r="B27" s="141">
        <f>I8</f>
        <v>1868252.4</v>
      </c>
      <c r="C27" s="141">
        <f t="shared" ref="C27:J27" si="4">$B$27*J8</f>
        <v>1868252.4</v>
      </c>
      <c r="D27" s="141">
        <f t="shared" si="4"/>
        <v>1868252.4</v>
      </c>
      <c r="E27" s="141">
        <f t="shared" si="4"/>
        <v>1868252.4</v>
      </c>
      <c r="F27" s="141">
        <f t="shared" si="4"/>
        <v>1868252.4</v>
      </c>
      <c r="G27" s="141">
        <f t="shared" si="4"/>
        <v>1868252.4</v>
      </c>
      <c r="H27" s="141">
        <f t="shared" si="4"/>
        <v>1868252.4</v>
      </c>
      <c r="I27" s="141">
        <f t="shared" si="4"/>
        <v>1868252.4</v>
      </c>
      <c r="J27" s="141">
        <f t="shared" si="4"/>
        <v>1868252.4</v>
      </c>
      <c r="K27" s="141">
        <f>B27*1.2*R8</f>
        <v>26902834.559999999</v>
      </c>
      <c r="L27" s="141">
        <f>B27*1.2*1.2*S8</f>
        <v>32283401.471999995</v>
      </c>
      <c r="M27" s="143">
        <f>SUM(D27:L27)</f>
        <v>72264002.831999987</v>
      </c>
      <c r="N27" s="18"/>
      <c r="O27" s="18"/>
      <c r="P27" s="18"/>
      <c r="Q27" s="18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</row>
    <row r="28" spans="1:38" ht="12.75" customHeight="1" x14ac:dyDescent="0.25">
      <c r="A28" s="128" t="s">
        <v>224</v>
      </c>
      <c r="B28" s="141">
        <f>I9</f>
        <v>1401189.3</v>
      </c>
      <c r="C28" s="141">
        <f t="shared" ref="C28:J28" si="5">$B$28*J9</f>
        <v>0</v>
      </c>
      <c r="D28" s="141">
        <f t="shared" si="5"/>
        <v>0</v>
      </c>
      <c r="E28" s="141">
        <f t="shared" si="5"/>
        <v>0</v>
      </c>
      <c r="F28" s="141">
        <f t="shared" si="5"/>
        <v>0</v>
      </c>
      <c r="G28" s="141">
        <f t="shared" si="5"/>
        <v>0</v>
      </c>
      <c r="H28" s="141">
        <f t="shared" si="5"/>
        <v>0</v>
      </c>
      <c r="I28" s="141">
        <f t="shared" si="5"/>
        <v>0</v>
      </c>
      <c r="J28" s="141">
        <f t="shared" si="5"/>
        <v>1401189.3</v>
      </c>
      <c r="K28" s="141">
        <f>B28*1.2*R9</f>
        <v>20177125.919999998</v>
      </c>
      <c r="L28" s="141">
        <f>B28*1.2*1.2*S9</f>
        <v>48425102.207999989</v>
      </c>
      <c r="M28" s="143">
        <f>SUM(D28:L28)</f>
        <v>70003417.427999988</v>
      </c>
      <c r="N28" s="18"/>
      <c r="O28" s="18"/>
      <c r="P28" s="18"/>
      <c r="Q28" s="18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</row>
    <row r="29" spans="1:38" ht="12.75" customHeight="1" x14ac:dyDescent="0.25">
      <c r="A29" s="102" t="s">
        <v>225</v>
      </c>
      <c r="B29" s="141">
        <f>I10</f>
        <v>1556877</v>
      </c>
      <c r="C29" s="141">
        <f t="shared" ref="C29:J29" si="6">$B$29*J10</f>
        <v>0</v>
      </c>
      <c r="D29" s="141">
        <f t="shared" si="6"/>
        <v>0</v>
      </c>
      <c r="E29" s="141">
        <f t="shared" si="6"/>
        <v>0</v>
      </c>
      <c r="F29" s="141">
        <f t="shared" si="6"/>
        <v>0</v>
      </c>
      <c r="G29" s="141">
        <f t="shared" si="6"/>
        <v>0</v>
      </c>
      <c r="H29" s="141">
        <f t="shared" si="6"/>
        <v>0</v>
      </c>
      <c r="I29" s="141">
        <f t="shared" si="6"/>
        <v>0</v>
      </c>
      <c r="J29" s="141">
        <f t="shared" si="6"/>
        <v>0</v>
      </c>
      <c r="K29" s="141">
        <f>B29*1.2*R10</f>
        <v>0</v>
      </c>
      <c r="L29" s="141">
        <f>B29*1.2*1.2*S10</f>
        <v>26902834.559999999</v>
      </c>
      <c r="M29" s="143">
        <f>SUM(D29:L29)</f>
        <v>26902834.559999999</v>
      </c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</row>
    <row r="30" spans="1:38" ht="12.75" customHeight="1" x14ac:dyDescent="0.25">
      <c r="A30" s="220" t="s">
        <v>226</v>
      </c>
      <c r="B30" s="144">
        <f>SUM(B25:B29)</f>
        <v>7784384.9999999991</v>
      </c>
      <c r="C30" s="144">
        <f>SUM(C24:C29)</f>
        <v>4826318.6999999993</v>
      </c>
      <c r="D30" s="144">
        <f t="shared" ref="D30:L30" si="7">SUM(D25:D29)</f>
        <v>4826318.6999999993</v>
      </c>
      <c r="E30" s="144">
        <f t="shared" si="7"/>
        <v>4826318.6999999993</v>
      </c>
      <c r="F30" s="144">
        <f t="shared" si="7"/>
        <v>4826318.6999999993</v>
      </c>
      <c r="G30" s="144">
        <f t="shared" si="7"/>
        <v>4826318.6999999993</v>
      </c>
      <c r="H30" s="144">
        <f t="shared" si="7"/>
        <v>4826318.6999999993</v>
      </c>
      <c r="I30" s="144">
        <f t="shared" si="7"/>
        <v>4826318.6999999993</v>
      </c>
      <c r="J30" s="144">
        <f t="shared" si="7"/>
        <v>6227507.9999999991</v>
      </c>
      <c r="K30" s="144">
        <f t="shared" si="7"/>
        <v>89676115.200000003</v>
      </c>
      <c r="L30" s="144">
        <f t="shared" si="7"/>
        <v>185629558.46399999</v>
      </c>
      <c r="M30" s="145">
        <f>SUM(C30:L30)</f>
        <v>315317412.56400001</v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</row>
    <row r="31" spans="1:38" ht="12.7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</row>
    <row r="32" spans="1:38" ht="12.7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</row>
    <row r="33" spans="1:38" ht="12.7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</row>
    <row r="34" spans="1:38" ht="12.7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</row>
    <row r="35" spans="1:38" ht="12.7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</row>
    <row r="36" spans="1:38" ht="12.7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</row>
    <row r="37" spans="1:38" ht="12.7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</row>
    <row r="38" spans="1:38" ht="12.7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</row>
    <row r="39" spans="1:38" ht="12.7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</row>
    <row r="40" spans="1:38" ht="12.7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</row>
    <row r="41" spans="1:38" ht="12.7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</row>
    <row r="42" spans="1:38" ht="12.7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</row>
    <row r="43" spans="1:38" ht="12.7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</row>
    <row r="44" spans="1:38" ht="12.7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</row>
    <row r="45" spans="1:38" ht="12.7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</row>
    <row r="46" spans="1:38" ht="12.7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</row>
    <row r="47" spans="1:38" ht="12.7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</row>
    <row r="48" spans="1:38" ht="12.7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</row>
    <row r="49" spans="1:38" ht="12.7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</row>
    <row r="50" spans="1:38" ht="12.7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</row>
    <row r="51" spans="1:38" ht="12.7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</row>
    <row r="52" spans="1:38" ht="12.7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</row>
    <row r="53" spans="1:38" ht="12.7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</row>
    <row r="54" spans="1:38" ht="12.7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</row>
    <row r="55" spans="1:38" ht="12.7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</row>
    <row r="56" spans="1:38" ht="12.7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</row>
    <row r="57" spans="1:38" ht="12.7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</row>
    <row r="58" spans="1:38" ht="12.7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</row>
    <row r="59" spans="1:38" ht="12.7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</row>
    <row r="60" spans="1:38" ht="12.7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</row>
    <row r="61" spans="1:38" ht="12.7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</row>
    <row r="62" spans="1:38" ht="12.7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</row>
    <row r="63" spans="1:38" ht="12.7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</row>
    <row r="64" spans="1:38" ht="12.7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</row>
    <row r="65" spans="1:38" ht="12.7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</row>
    <row r="66" spans="1:38" ht="12.7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</row>
    <row r="67" spans="1:38" ht="12.7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</row>
    <row r="68" spans="1:38" ht="12.7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</row>
    <row r="69" spans="1:38" ht="12.7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</row>
    <row r="70" spans="1:38" ht="12.7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</row>
    <row r="71" spans="1:38" ht="12.7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</row>
    <row r="72" spans="1:38" ht="12.7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</row>
    <row r="73" spans="1:38" ht="12.7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</row>
    <row r="74" spans="1:38" ht="12.7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</row>
    <row r="75" spans="1:38" ht="12.7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</row>
    <row r="76" spans="1:38" ht="12.7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</row>
    <row r="77" spans="1:38" ht="12.7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</row>
    <row r="78" spans="1:38" ht="12.7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</row>
    <row r="79" spans="1:38" ht="12.7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</row>
    <row r="80" spans="1:38" ht="12.7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</row>
    <row r="81" spans="1:38" ht="12.7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</row>
    <row r="82" spans="1:38" ht="12.7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</row>
    <row r="83" spans="1:38" ht="12.7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</row>
    <row r="84" spans="1:38" ht="12.7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</row>
    <row r="85" spans="1:38" ht="12.7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</row>
    <row r="86" spans="1:38" ht="12.7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</row>
    <row r="87" spans="1:38" ht="12.7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</row>
    <row r="88" spans="1:38" ht="12.7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</row>
    <row r="89" spans="1:38" ht="12.7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</row>
    <row r="90" spans="1:38" ht="12.7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</row>
    <row r="91" spans="1:38" ht="12.7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</row>
    <row r="92" spans="1:38" ht="12.7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</row>
    <row r="93" spans="1:38" ht="12.7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</row>
    <row r="94" spans="1:38" ht="12.7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</row>
    <row r="95" spans="1:38" ht="12.7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</row>
    <row r="96" spans="1:38" ht="12.7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</row>
    <row r="97" spans="1:38" ht="12.7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</row>
    <row r="98" spans="1:38" ht="12.7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</row>
    <row r="99" spans="1:38" ht="12.7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</row>
    <row r="100" spans="1:38" ht="12.7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</row>
    <row r="101" spans="1:38" ht="12.7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</row>
    <row r="102" spans="1:38" ht="12.7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</row>
    <row r="103" spans="1:38" ht="12.7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</row>
    <row r="104" spans="1:38" ht="12.7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</row>
    <row r="105" spans="1:38" ht="12.7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</row>
    <row r="106" spans="1:38" ht="12.7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</row>
    <row r="107" spans="1:38" ht="12.7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</row>
    <row r="108" spans="1:38" ht="12.7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</row>
    <row r="109" spans="1:38" ht="12.7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</row>
    <row r="110" spans="1:38" ht="12.7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</row>
    <row r="111" spans="1:38" ht="12.7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</row>
    <row r="112" spans="1:38" ht="12.7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</row>
    <row r="113" spans="1:38" ht="12.7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</row>
    <row r="114" spans="1:38" ht="12.7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</row>
    <row r="115" spans="1:38" ht="12.7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</row>
    <row r="116" spans="1:38" ht="12.7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</row>
    <row r="117" spans="1:38" ht="12.7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</row>
    <row r="118" spans="1:38" ht="12.7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</row>
    <row r="119" spans="1:38" ht="12.7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</row>
    <row r="120" spans="1:38" ht="12.7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</row>
    <row r="121" spans="1:38" ht="12.7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</row>
    <row r="122" spans="1:38" ht="12.7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</row>
    <row r="123" spans="1:38" ht="12.7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</row>
    <row r="124" spans="1:38" ht="12.7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</row>
    <row r="125" spans="1:38" ht="12.7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</row>
    <row r="126" spans="1:38" ht="12.7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</row>
    <row r="127" spans="1:38" ht="12.7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</row>
    <row r="128" spans="1:38" ht="12.7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</row>
    <row r="129" spans="1:38" ht="12.7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</row>
    <row r="130" spans="1:38" ht="12.7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</row>
    <row r="131" spans="1:38" ht="12.7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</row>
    <row r="132" spans="1:38" ht="12.7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</row>
    <row r="133" spans="1:38" ht="12.7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</row>
    <row r="134" spans="1:38" ht="12.7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</row>
    <row r="135" spans="1:38" ht="12.7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</row>
    <row r="136" spans="1:38" ht="12.7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</row>
    <row r="137" spans="1:38" ht="12.7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</row>
    <row r="138" spans="1:38" ht="12.7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</row>
    <row r="139" spans="1:38" ht="12.7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</row>
    <row r="140" spans="1:38" ht="12.7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</row>
    <row r="141" spans="1:38" ht="12.7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</row>
    <row r="142" spans="1:38" ht="12.7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</row>
    <row r="143" spans="1:38" ht="12.7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</row>
    <row r="144" spans="1:38" ht="12.7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</row>
    <row r="145" spans="1:38" ht="12.7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</row>
    <row r="146" spans="1:38" ht="12.7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</row>
    <row r="147" spans="1:38" ht="12.7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</row>
    <row r="148" spans="1:38" ht="12.7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</row>
    <row r="149" spans="1:38" ht="12.7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</row>
    <row r="150" spans="1:38" ht="12.7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</row>
    <row r="151" spans="1:38" ht="12.7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</row>
    <row r="152" spans="1:38" ht="12.7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</row>
    <row r="153" spans="1:38" ht="12.7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</row>
    <row r="154" spans="1:38" ht="12.7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</row>
    <row r="155" spans="1:38" ht="12.7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</row>
    <row r="156" spans="1:38" ht="12.7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</row>
    <row r="157" spans="1:38" ht="12.7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</row>
    <row r="158" spans="1:38" ht="12.7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</row>
    <row r="159" spans="1:38" ht="12.7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</row>
    <row r="160" spans="1:38" ht="12.7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</row>
    <row r="161" spans="1:38" ht="12.7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</row>
    <row r="162" spans="1:38" ht="12.7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</row>
    <row r="163" spans="1:38" ht="12.7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</row>
    <row r="164" spans="1:38" ht="12.7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</row>
    <row r="165" spans="1:38" ht="12.7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</row>
    <row r="166" spans="1:38" ht="12.7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</row>
    <row r="167" spans="1:38" ht="12.7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</row>
    <row r="168" spans="1:38" ht="12.7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</row>
    <row r="169" spans="1:38" ht="12.7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</row>
    <row r="170" spans="1:38" ht="12.7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</row>
    <row r="171" spans="1:38" ht="12.7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</row>
    <row r="172" spans="1:38" ht="12.7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</row>
    <row r="173" spans="1:38" ht="12.7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</row>
    <row r="174" spans="1:38" ht="12.7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</row>
    <row r="175" spans="1:38" ht="12.7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</row>
    <row r="176" spans="1:38" ht="12.7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</row>
    <row r="177" spans="1:38" ht="12.7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</row>
    <row r="178" spans="1:38" ht="12.7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</row>
    <row r="179" spans="1:38" ht="12.7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</row>
    <row r="180" spans="1:38" ht="12.7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</row>
    <row r="181" spans="1:38" ht="12.7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</row>
    <row r="182" spans="1:38" ht="12.7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</row>
    <row r="183" spans="1:38" ht="12.7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</row>
    <row r="184" spans="1:38" ht="12.7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</row>
    <row r="185" spans="1:38" ht="12.7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</row>
    <row r="186" spans="1:38" ht="12.7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</row>
    <row r="187" spans="1:38" ht="12.7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</row>
    <row r="188" spans="1:38" ht="12.7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</row>
    <row r="189" spans="1:38" ht="12.7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</row>
    <row r="190" spans="1:38" ht="12.7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</row>
    <row r="191" spans="1:38" ht="12.7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</row>
    <row r="192" spans="1:38" ht="12.7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</row>
    <row r="193" spans="1:38" ht="12.7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</row>
    <row r="194" spans="1:38" ht="12.7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</row>
    <row r="195" spans="1:38" ht="12.7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</row>
    <row r="196" spans="1:38" ht="12.7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</row>
    <row r="197" spans="1:38" ht="12.7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</row>
    <row r="198" spans="1:38" ht="12.7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</row>
    <row r="199" spans="1:38" ht="12.7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</row>
    <row r="200" spans="1:38" ht="12.7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</row>
    <row r="201" spans="1:38" ht="12.7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</row>
    <row r="202" spans="1:38" ht="12.7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</row>
    <row r="203" spans="1:38" ht="12.7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</row>
    <row r="204" spans="1:38" ht="12.7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</row>
    <row r="205" spans="1:38" ht="12.7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</row>
    <row r="206" spans="1:38" ht="12.7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</row>
    <row r="207" spans="1:38" ht="12.7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</row>
    <row r="208" spans="1:38" ht="12.7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</row>
    <row r="209" spans="1:38" ht="12.7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</row>
    <row r="210" spans="1:38" ht="12.7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</row>
    <row r="211" spans="1:38" ht="12.7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</row>
    <row r="212" spans="1:38" ht="12.7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</row>
    <row r="213" spans="1:38" ht="12.7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</row>
    <row r="214" spans="1:38" ht="12.7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</row>
    <row r="215" spans="1:38" ht="12.7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</row>
    <row r="216" spans="1:38" ht="12.7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</row>
    <row r="217" spans="1:38" ht="12.7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</row>
    <row r="218" spans="1:38" ht="12.7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</row>
    <row r="219" spans="1:38" ht="12.7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</row>
    <row r="220" spans="1:38" ht="12.7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</row>
    <row r="221" spans="1:38" ht="12.7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</row>
    <row r="222" spans="1:38" ht="12.7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</row>
    <row r="223" spans="1:38" ht="12.7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</row>
    <row r="224" spans="1:38" ht="12.7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</row>
    <row r="225" spans="1:38" ht="12.7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</row>
    <row r="226" spans="1:38" ht="12.7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</row>
    <row r="227" spans="1:38" ht="12.75" customHeight="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</row>
    <row r="228" spans="1:38" ht="12.75" customHeight="1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</row>
    <row r="229" spans="1:38" ht="12.75" customHeight="1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</row>
    <row r="230" spans="1:38" ht="12.75" customHeight="1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</row>
    <row r="231" spans="1:38" ht="15.75" customHeight="1" x14ac:dyDescent="0.25"/>
    <row r="232" spans="1:38" ht="15.75" customHeight="1" x14ac:dyDescent="0.25"/>
    <row r="233" spans="1:38" ht="15.75" customHeight="1" x14ac:dyDescent="0.25"/>
    <row r="234" spans="1:38" ht="15.75" customHeight="1" x14ac:dyDescent="0.25"/>
    <row r="235" spans="1:38" ht="15.75" customHeight="1" x14ac:dyDescent="0.25"/>
    <row r="236" spans="1:38" ht="15.75" customHeight="1" x14ac:dyDescent="0.25"/>
    <row r="237" spans="1:38" ht="15.75" customHeight="1" x14ac:dyDescent="0.25"/>
    <row r="238" spans="1:38" ht="15.75" customHeight="1" x14ac:dyDescent="0.25"/>
    <row r="239" spans="1:38" ht="15.75" customHeight="1" x14ac:dyDescent="0.25"/>
    <row r="240" spans="1:3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D23:J23"/>
    <mergeCell ref="K4:Q4"/>
  </mergeCells>
  <pageMargins left="0.78740157480314998" right="0.78740157480314998" top="0.78740157480314998" bottom="0.78740157480314998" header="0" footer="0"/>
  <pageSetup orientation="landscape"/>
  <headerFooter>
    <oddFooter>&amp;LCEA Confidential&amp;C&amp;A&amp;R&amp;D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000"/>
  <sheetViews>
    <sheetView showGridLines="0" topLeftCell="A4" workbookViewId="0"/>
  </sheetViews>
  <sheetFormatPr baseColWidth="10" defaultColWidth="14.44140625" defaultRowHeight="15" customHeight="1" x14ac:dyDescent="0.25"/>
  <cols>
    <col min="1" max="1" width="76.77734375" customWidth="1"/>
    <col min="2" max="2" width="10.6640625" customWidth="1"/>
    <col min="3" max="3" width="8.6640625" customWidth="1"/>
    <col min="4" max="4" width="11" customWidth="1"/>
    <col min="5" max="5" width="11.77734375" customWidth="1"/>
    <col min="6" max="17" width="9.109375" customWidth="1"/>
    <col min="18" max="18" width="11.109375" customWidth="1"/>
    <col min="19" max="21" width="11.44140625" customWidth="1"/>
  </cols>
  <sheetData>
    <row r="1" spans="1:18" ht="19.95" customHeight="1" x14ac:dyDescent="0.4">
      <c r="A1" s="17" t="str">
        <f>'Est. Res. Proy.'!A2</f>
        <v>Sistema de monitoreo, diagnostico y actuacion para viveros de yerba mate</v>
      </c>
      <c r="B1" s="15" t="s">
        <v>133</v>
      </c>
      <c r="C1" s="146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5"/>
    </row>
    <row r="2" spans="1:18" ht="18" customHeight="1" x14ac:dyDescent="0.3">
      <c r="A2" s="54" t="s">
        <v>227</v>
      </c>
      <c r="B2" s="15" t="s">
        <v>133</v>
      </c>
      <c r="C2" s="18"/>
      <c r="D2" s="22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5"/>
    </row>
    <row r="3" spans="1:18" ht="12.75" customHeight="1" x14ac:dyDescent="0.3">
      <c r="A3" s="54"/>
      <c r="B3" s="18"/>
      <c r="C3" s="18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15"/>
    </row>
    <row r="4" spans="1:18" ht="12.75" customHeight="1" x14ac:dyDescent="0.25">
      <c r="A4" s="147" t="s">
        <v>4</v>
      </c>
      <c r="B4" s="222"/>
      <c r="C4" s="148"/>
      <c r="D4" s="223" t="s">
        <v>228</v>
      </c>
      <c r="E4" s="18"/>
      <c r="F4" s="18"/>
      <c r="G4" s="18"/>
    </row>
    <row r="5" spans="1:18" ht="12.75" customHeight="1" x14ac:dyDescent="0.25">
      <c r="A5" s="206" t="s">
        <v>8</v>
      </c>
      <c r="B5" s="76" t="s">
        <v>217</v>
      </c>
      <c r="C5" s="224" t="s">
        <v>229</v>
      </c>
      <c r="D5" s="149"/>
      <c r="E5" s="18"/>
      <c r="F5" s="18"/>
      <c r="G5" s="18"/>
    </row>
    <row r="6" spans="1:18" ht="12.75" customHeight="1" x14ac:dyDescent="0.25">
      <c r="A6" s="154" t="s">
        <v>230</v>
      </c>
      <c r="B6" s="79">
        <v>120000</v>
      </c>
      <c r="C6" s="150">
        <v>4</v>
      </c>
      <c r="D6" s="79">
        <f>B6*C6</f>
        <v>480000</v>
      </c>
      <c r="E6" s="18"/>
      <c r="F6" s="18"/>
      <c r="G6" s="18"/>
    </row>
    <row r="7" spans="1:18" ht="12.75" customHeight="1" x14ac:dyDescent="0.25">
      <c r="A7" s="154" t="s">
        <v>231</v>
      </c>
      <c r="B7" s="79">
        <v>90000</v>
      </c>
      <c r="C7" s="150">
        <v>4</v>
      </c>
      <c r="D7" s="79">
        <f>B7*C7</f>
        <v>360000</v>
      </c>
      <c r="E7" s="18"/>
      <c r="F7" s="18"/>
      <c r="G7" s="18"/>
    </row>
    <row r="8" spans="1:18" ht="12.75" customHeight="1" x14ac:dyDescent="0.25">
      <c r="A8" s="154" t="s">
        <v>232</v>
      </c>
      <c r="B8" s="79">
        <v>60000</v>
      </c>
      <c r="C8" s="150">
        <v>1</v>
      </c>
      <c r="D8" s="79">
        <f>B8*C8</f>
        <v>60000</v>
      </c>
      <c r="E8" s="18"/>
      <c r="F8" s="18"/>
      <c r="G8" s="18"/>
    </row>
    <row r="9" spans="1:18" ht="12.75" customHeight="1" x14ac:dyDescent="0.25">
      <c r="A9" s="154" t="s">
        <v>233</v>
      </c>
      <c r="B9" s="79">
        <v>2000</v>
      </c>
      <c r="C9" s="150">
        <v>0</v>
      </c>
      <c r="D9" s="79">
        <f>B9*C9</f>
        <v>0</v>
      </c>
      <c r="E9" s="18"/>
      <c r="F9" s="18"/>
      <c r="G9" s="18"/>
    </row>
    <row r="10" spans="1:18" ht="12.75" customHeight="1" x14ac:dyDescent="0.25">
      <c r="A10" s="101" t="s">
        <v>234</v>
      </c>
      <c r="B10" s="79">
        <v>80000</v>
      </c>
      <c r="C10" s="150">
        <v>2</v>
      </c>
      <c r="D10" s="79">
        <f>B10*C10</f>
        <v>160000</v>
      </c>
      <c r="E10" s="18"/>
      <c r="F10" s="18"/>
      <c r="G10" s="18"/>
    </row>
    <row r="11" spans="1:18" ht="12.75" customHeight="1" x14ac:dyDescent="0.25">
      <c r="A11" s="251" t="s">
        <v>235</v>
      </c>
      <c r="B11" s="252"/>
      <c r="C11" s="253"/>
      <c r="D11" s="151">
        <f>SUM(D6:D10)</f>
        <v>1060000</v>
      </c>
      <c r="E11" s="18"/>
      <c r="F11" s="18"/>
      <c r="G11" s="18"/>
    </row>
    <row r="12" spans="1:18" ht="12.75" customHeight="1" x14ac:dyDescent="0.25">
      <c r="A12" s="80" t="s">
        <v>236</v>
      </c>
      <c r="B12" s="83">
        <v>1200000</v>
      </c>
      <c r="C12" s="150">
        <v>5</v>
      </c>
      <c r="D12" s="79">
        <f t="shared" ref="D12:D17" si="0">B12*C12</f>
        <v>6000000</v>
      </c>
      <c r="E12" s="18"/>
      <c r="F12" s="18"/>
      <c r="G12" s="18"/>
    </row>
    <row r="13" spans="1:18" ht="12.75" customHeight="1" x14ac:dyDescent="0.25">
      <c r="A13" s="154" t="s">
        <v>237</v>
      </c>
      <c r="B13" s="79">
        <v>700000</v>
      </c>
      <c r="C13" s="150">
        <v>1</v>
      </c>
      <c r="D13" s="79">
        <f t="shared" si="0"/>
        <v>700000</v>
      </c>
      <c r="E13" s="18"/>
      <c r="F13" s="18"/>
      <c r="G13" s="18"/>
    </row>
    <row r="14" spans="1:18" ht="12.75" customHeight="1" x14ac:dyDescent="0.25">
      <c r="A14" s="154" t="s">
        <v>238</v>
      </c>
      <c r="B14" s="79">
        <v>7000</v>
      </c>
      <c r="C14" s="150">
        <v>0</v>
      </c>
      <c r="D14" s="79">
        <f t="shared" si="0"/>
        <v>0</v>
      </c>
      <c r="E14" s="18"/>
      <c r="F14" s="18"/>
      <c r="G14" s="18"/>
    </row>
    <row r="15" spans="1:18" ht="12.75" customHeight="1" x14ac:dyDescent="0.25">
      <c r="A15" s="154" t="s">
        <v>239</v>
      </c>
      <c r="B15" s="79">
        <v>6000</v>
      </c>
      <c r="C15" s="150">
        <v>0</v>
      </c>
      <c r="D15" s="79">
        <f t="shared" si="0"/>
        <v>0</v>
      </c>
      <c r="E15" s="18"/>
      <c r="F15" s="18"/>
      <c r="G15" s="18"/>
    </row>
    <row r="16" spans="1:18" ht="12.75" customHeight="1" x14ac:dyDescent="0.25">
      <c r="A16" s="154" t="s">
        <v>240</v>
      </c>
      <c r="B16" s="79">
        <v>60000</v>
      </c>
      <c r="C16" s="150">
        <v>1</v>
      </c>
      <c r="D16" s="79">
        <f t="shared" si="0"/>
        <v>60000</v>
      </c>
      <c r="E16" s="18"/>
      <c r="F16" s="18"/>
      <c r="G16" s="18"/>
    </row>
    <row r="17" spans="1:21" ht="12.75" customHeight="1" x14ac:dyDescent="0.25">
      <c r="A17" s="154" t="s">
        <v>241</v>
      </c>
      <c r="B17" s="79">
        <v>3000</v>
      </c>
      <c r="C17" s="150">
        <v>0</v>
      </c>
      <c r="D17" s="79">
        <f t="shared" si="0"/>
        <v>0</v>
      </c>
      <c r="E17" s="18"/>
      <c r="F17" s="18"/>
      <c r="G17" s="18"/>
    </row>
    <row r="18" spans="1:21" ht="12.75" customHeight="1" x14ac:dyDescent="0.25">
      <c r="A18" s="154" t="s">
        <v>242</v>
      </c>
      <c r="B18" s="79">
        <v>1500000</v>
      </c>
      <c r="C18" s="150">
        <v>1</v>
      </c>
      <c r="D18" s="79"/>
      <c r="E18" s="18"/>
      <c r="F18" s="18"/>
      <c r="G18" s="18"/>
    </row>
    <row r="19" spans="1:21" ht="12.75" customHeight="1" x14ac:dyDescent="0.25">
      <c r="A19" s="154"/>
      <c r="B19" s="79"/>
      <c r="C19" s="150"/>
      <c r="D19" s="152"/>
      <c r="E19" s="18"/>
      <c r="F19" s="18"/>
      <c r="G19" s="18"/>
    </row>
    <row r="20" spans="1:21" ht="12.75" customHeight="1" x14ac:dyDescent="0.25">
      <c r="A20" s="251" t="s">
        <v>243</v>
      </c>
      <c r="B20" s="252"/>
      <c r="C20" s="253"/>
      <c r="D20" s="151">
        <f>SUM(D12:D19)</f>
        <v>6760000</v>
      </c>
      <c r="E20" s="18"/>
      <c r="F20" s="18"/>
      <c r="G20" s="18"/>
    </row>
    <row r="21" spans="1:21" ht="12.75" customHeight="1" x14ac:dyDescent="0.25">
      <c r="A21" s="251" t="s">
        <v>244</v>
      </c>
      <c r="B21" s="252"/>
      <c r="C21" s="253"/>
      <c r="D21" s="151">
        <f>SUM(D20,D11)</f>
        <v>7820000</v>
      </c>
      <c r="E21" s="18"/>
      <c r="F21" s="18"/>
      <c r="G21" s="18"/>
    </row>
    <row r="22" spans="1:21" ht="12.75" customHeight="1" x14ac:dyDescent="0.25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5"/>
      <c r="S22" s="18"/>
      <c r="T22" s="18"/>
      <c r="U22" s="18"/>
    </row>
    <row r="23" spans="1:21" ht="12.75" customHeight="1" x14ac:dyDescent="0.25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5"/>
      <c r="S23" s="18"/>
      <c r="T23" s="18"/>
      <c r="U23" s="18"/>
    </row>
    <row r="24" spans="1:21" ht="12.75" customHeight="1" x14ac:dyDescent="0.25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5"/>
      <c r="S24" s="18"/>
      <c r="T24" s="18"/>
      <c r="U24" s="18"/>
    </row>
    <row r="25" spans="1:21" ht="15.75" customHeight="1" x14ac:dyDescent="0.3">
      <c r="A25" s="54" t="s">
        <v>245</v>
      </c>
      <c r="R25" s="15"/>
    </row>
    <row r="26" spans="1:21" ht="12.75" customHeight="1" x14ac:dyDescent="0.25">
      <c r="R26" s="15"/>
    </row>
    <row r="27" spans="1:21" ht="12.75" customHeight="1" x14ac:dyDescent="0.25">
      <c r="A27" s="147" t="s">
        <v>4</v>
      </c>
      <c r="B27" s="222"/>
      <c r="C27" s="148"/>
      <c r="D27" s="223" t="s">
        <v>228</v>
      </c>
      <c r="R27" s="15"/>
    </row>
    <row r="28" spans="1:21" ht="12.75" customHeight="1" x14ac:dyDescent="0.25">
      <c r="A28" s="206" t="s">
        <v>8</v>
      </c>
      <c r="B28" s="76" t="s">
        <v>217</v>
      </c>
      <c r="C28" s="224" t="s">
        <v>229</v>
      </c>
      <c r="D28" s="149"/>
      <c r="R28" s="15"/>
    </row>
    <row r="29" spans="1:21" ht="12.75" customHeight="1" x14ac:dyDescent="0.25">
      <c r="A29" s="80" t="s">
        <v>246</v>
      </c>
      <c r="B29" s="83">
        <v>2800000</v>
      </c>
      <c r="C29" s="153">
        <v>1</v>
      </c>
      <c r="D29" s="79">
        <f t="shared" ref="D29:D42" si="1">PRODUCT(C29,B29)</f>
        <v>2800000</v>
      </c>
      <c r="R29" s="15"/>
    </row>
    <row r="30" spans="1:21" ht="12.75" customHeight="1" x14ac:dyDescent="0.25">
      <c r="A30" s="80" t="s">
        <v>247</v>
      </c>
      <c r="B30" s="83">
        <v>12000</v>
      </c>
      <c r="C30" s="153">
        <v>1000</v>
      </c>
      <c r="D30" s="79">
        <f t="shared" si="1"/>
        <v>12000000</v>
      </c>
      <c r="R30" s="15"/>
    </row>
    <row r="31" spans="1:21" ht="12.75" customHeight="1" x14ac:dyDescent="0.25">
      <c r="A31" s="80" t="s">
        <v>248</v>
      </c>
      <c r="B31" s="83">
        <v>190000</v>
      </c>
      <c r="C31" s="153">
        <v>10</v>
      </c>
      <c r="D31" s="79">
        <f t="shared" si="1"/>
        <v>1900000</v>
      </c>
      <c r="R31" s="15"/>
    </row>
    <row r="32" spans="1:21" ht="12.75" customHeight="1" x14ac:dyDescent="0.25">
      <c r="A32" s="128" t="s">
        <v>249</v>
      </c>
      <c r="B32" s="83">
        <v>48000</v>
      </c>
      <c r="C32" s="153">
        <v>10</v>
      </c>
      <c r="D32" s="79">
        <f t="shared" si="1"/>
        <v>480000</v>
      </c>
      <c r="R32" s="15"/>
    </row>
    <row r="33" spans="1:18" ht="12.75" customHeight="1" x14ac:dyDescent="0.25">
      <c r="A33" t="s">
        <v>250</v>
      </c>
      <c r="B33" s="83">
        <v>65000</v>
      </c>
      <c r="C33" s="153">
        <v>10</v>
      </c>
      <c r="D33" s="79">
        <f t="shared" si="1"/>
        <v>650000</v>
      </c>
      <c r="R33" s="15"/>
    </row>
    <row r="34" spans="1:18" ht="12.75" customHeight="1" x14ac:dyDescent="0.25">
      <c r="A34" s="154" t="s">
        <v>251</v>
      </c>
      <c r="B34" s="83">
        <v>380000</v>
      </c>
      <c r="C34" s="153">
        <v>1</v>
      </c>
      <c r="D34" s="79">
        <f t="shared" si="1"/>
        <v>380000</v>
      </c>
      <c r="R34" s="15"/>
    </row>
    <row r="35" spans="1:18" ht="12.75" customHeight="1" x14ac:dyDescent="0.25">
      <c r="A35" s="154" t="s">
        <v>252</v>
      </c>
      <c r="B35" s="83">
        <v>130000</v>
      </c>
      <c r="C35" s="153">
        <v>10</v>
      </c>
      <c r="D35" s="79">
        <f t="shared" si="1"/>
        <v>1300000</v>
      </c>
      <c r="R35" s="15"/>
    </row>
    <row r="36" spans="1:18" ht="12.75" customHeight="1" x14ac:dyDescent="0.25">
      <c r="A36" s="80" t="s">
        <v>253</v>
      </c>
      <c r="B36" s="83">
        <v>450000</v>
      </c>
      <c r="C36" s="153">
        <v>1</v>
      </c>
      <c r="D36" s="79">
        <f t="shared" si="1"/>
        <v>450000</v>
      </c>
      <c r="R36" s="15"/>
    </row>
    <row r="37" spans="1:18" ht="12.75" customHeight="1" x14ac:dyDescent="0.25">
      <c r="A37" s="154" t="s">
        <v>254</v>
      </c>
      <c r="B37" s="83">
        <v>950000</v>
      </c>
      <c r="C37" s="153">
        <v>1</v>
      </c>
      <c r="D37" s="79">
        <f t="shared" si="1"/>
        <v>950000</v>
      </c>
      <c r="R37" s="15"/>
    </row>
    <row r="38" spans="1:18" ht="12.75" customHeight="1" x14ac:dyDescent="0.25">
      <c r="A38" s="154" t="s">
        <v>255</v>
      </c>
      <c r="B38" s="83">
        <v>375000</v>
      </c>
      <c r="C38" s="153">
        <v>1</v>
      </c>
      <c r="D38" s="79">
        <f t="shared" si="1"/>
        <v>375000</v>
      </c>
      <c r="R38" s="15"/>
    </row>
    <row r="39" spans="1:18" ht="12.75" customHeight="1" x14ac:dyDescent="0.25">
      <c r="A39" t="s">
        <v>256</v>
      </c>
      <c r="B39" s="79">
        <v>700000</v>
      </c>
      <c r="C39" s="150">
        <v>1</v>
      </c>
      <c r="D39" s="79">
        <f t="shared" si="1"/>
        <v>700000</v>
      </c>
      <c r="R39" s="15"/>
    </row>
    <row r="40" spans="1:18" ht="12.75" customHeight="1" x14ac:dyDescent="0.25">
      <c r="A40" s="154" t="s">
        <v>257</v>
      </c>
      <c r="B40" s="79">
        <v>1100000</v>
      </c>
      <c r="C40" s="150">
        <v>1</v>
      </c>
      <c r="D40" s="79">
        <f t="shared" si="1"/>
        <v>1100000</v>
      </c>
      <c r="R40" s="15"/>
    </row>
    <row r="41" spans="1:18" ht="12.75" customHeight="1" x14ac:dyDescent="0.25">
      <c r="A41" s="154" t="s">
        <v>258</v>
      </c>
      <c r="B41" s="79">
        <v>700000</v>
      </c>
      <c r="C41" s="150">
        <v>1</v>
      </c>
      <c r="D41" s="79">
        <f t="shared" si="1"/>
        <v>700000</v>
      </c>
      <c r="R41" s="15"/>
    </row>
    <row r="42" spans="1:18" ht="12.75" customHeight="1" x14ac:dyDescent="0.25">
      <c r="A42" s="154"/>
      <c r="B42" s="79"/>
      <c r="C42" s="150"/>
      <c r="D42" s="79">
        <f t="shared" si="1"/>
        <v>0</v>
      </c>
      <c r="R42" s="15"/>
    </row>
    <row r="43" spans="1:18" ht="12.75" customHeight="1" x14ac:dyDescent="0.25">
      <c r="A43" s="154"/>
      <c r="B43" s="79"/>
      <c r="C43" s="150"/>
      <c r="D43" s="79"/>
      <c r="R43" s="15"/>
    </row>
    <row r="44" spans="1:18" ht="12.75" customHeight="1" x14ac:dyDescent="0.25">
      <c r="A44" s="251" t="s">
        <v>259</v>
      </c>
      <c r="B44" s="252"/>
      <c r="C44" s="253"/>
      <c r="D44" s="151">
        <f>SUM(D29:D42)</f>
        <v>23785000</v>
      </c>
      <c r="R44" s="15"/>
    </row>
    <row r="45" spans="1:18" ht="12.75" customHeight="1" x14ac:dyDescent="0.25">
      <c r="R45" s="15"/>
    </row>
    <row r="46" spans="1:18" ht="12.75" customHeight="1" x14ac:dyDescent="0.25">
      <c r="R46" s="15"/>
    </row>
    <row r="47" spans="1:18" ht="12.75" customHeight="1" x14ac:dyDescent="0.25">
      <c r="R47" s="15"/>
    </row>
    <row r="48" spans="1:18" ht="12.75" customHeight="1" x14ac:dyDescent="0.25">
      <c r="R48" s="15"/>
    </row>
    <row r="49" spans="18:18" ht="12.75" customHeight="1" x14ac:dyDescent="0.25">
      <c r="R49" s="15"/>
    </row>
    <row r="50" spans="18:18" ht="12.75" customHeight="1" x14ac:dyDescent="0.25">
      <c r="R50" s="15"/>
    </row>
    <row r="51" spans="18:18" ht="12.75" customHeight="1" x14ac:dyDescent="0.25">
      <c r="R51" s="15"/>
    </row>
    <row r="52" spans="18:18" ht="12.75" customHeight="1" x14ac:dyDescent="0.25">
      <c r="R52" s="15"/>
    </row>
    <row r="53" spans="18:18" ht="12.75" customHeight="1" x14ac:dyDescent="0.25">
      <c r="R53" s="15"/>
    </row>
    <row r="54" spans="18:18" ht="12.75" customHeight="1" x14ac:dyDescent="0.25">
      <c r="R54" s="15"/>
    </row>
    <row r="55" spans="18:18" ht="12.75" customHeight="1" x14ac:dyDescent="0.25">
      <c r="R55" s="15"/>
    </row>
    <row r="56" spans="18:18" ht="12.75" customHeight="1" x14ac:dyDescent="0.25">
      <c r="R56" s="15"/>
    </row>
    <row r="57" spans="18:18" ht="12.75" customHeight="1" x14ac:dyDescent="0.25">
      <c r="R57" s="15"/>
    </row>
    <row r="58" spans="18:18" ht="12.75" customHeight="1" x14ac:dyDescent="0.25">
      <c r="R58" s="15"/>
    </row>
    <row r="59" spans="18:18" ht="12.75" customHeight="1" x14ac:dyDescent="0.25">
      <c r="R59" s="15"/>
    </row>
    <row r="60" spans="18:18" ht="12.75" customHeight="1" x14ac:dyDescent="0.25">
      <c r="R60" s="15"/>
    </row>
    <row r="61" spans="18:18" ht="12.75" customHeight="1" x14ac:dyDescent="0.25">
      <c r="R61" s="15"/>
    </row>
    <row r="62" spans="18:18" ht="12.75" customHeight="1" x14ac:dyDescent="0.25">
      <c r="R62" s="15"/>
    </row>
    <row r="63" spans="18:18" ht="12.75" customHeight="1" x14ac:dyDescent="0.25">
      <c r="R63" s="15"/>
    </row>
    <row r="64" spans="18:18" ht="12.75" customHeight="1" x14ac:dyDescent="0.25">
      <c r="R64" s="15"/>
    </row>
    <row r="65" spans="18:18" ht="12.75" customHeight="1" x14ac:dyDescent="0.25">
      <c r="R65" s="15"/>
    </row>
    <row r="66" spans="18:18" ht="12.75" customHeight="1" x14ac:dyDescent="0.25">
      <c r="R66" s="15"/>
    </row>
    <row r="67" spans="18:18" ht="12.75" customHeight="1" x14ac:dyDescent="0.25">
      <c r="R67" s="15"/>
    </row>
    <row r="68" spans="18:18" ht="12.75" customHeight="1" x14ac:dyDescent="0.25">
      <c r="R68" s="15"/>
    </row>
    <row r="69" spans="18:18" ht="12.75" customHeight="1" x14ac:dyDescent="0.25">
      <c r="R69" s="15"/>
    </row>
    <row r="70" spans="18:18" ht="12.75" customHeight="1" x14ac:dyDescent="0.25">
      <c r="R70" s="15"/>
    </row>
    <row r="71" spans="18:18" ht="12.75" customHeight="1" x14ac:dyDescent="0.25">
      <c r="R71" s="15"/>
    </row>
    <row r="72" spans="18:18" ht="12.75" customHeight="1" x14ac:dyDescent="0.25">
      <c r="R72" s="15"/>
    </row>
    <row r="73" spans="18:18" ht="12.75" customHeight="1" x14ac:dyDescent="0.25">
      <c r="R73" s="15"/>
    </row>
    <row r="74" spans="18:18" ht="12.75" customHeight="1" x14ac:dyDescent="0.25">
      <c r="R74" s="15"/>
    </row>
    <row r="75" spans="18:18" ht="12.75" customHeight="1" x14ac:dyDescent="0.25">
      <c r="R75" s="15"/>
    </row>
    <row r="76" spans="18:18" ht="12.75" customHeight="1" x14ac:dyDescent="0.25">
      <c r="R76" s="15"/>
    </row>
    <row r="77" spans="18:18" ht="12.75" customHeight="1" x14ac:dyDescent="0.25">
      <c r="R77" s="15"/>
    </row>
    <row r="78" spans="18:18" ht="12.75" customHeight="1" x14ac:dyDescent="0.25">
      <c r="R78" s="15"/>
    </row>
    <row r="79" spans="18:18" ht="12.75" customHeight="1" x14ac:dyDescent="0.25">
      <c r="R79" s="15"/>
    </row>
    <row r="80" spans="18:18" ht="12.75" customHeight="1" x14ac:dyDescent="0.25">
      <c r="R80" s="15"/>
    </row>
    <row r="81" spans="18:18" ht="12.75" customHeight="1" x14ac:dyDescent="0.25">
      <c r="R81" s="15"/>
    </row>
    <row r="82" spans="18:18" ht="12.75" customHeight="1" x14ac:dyDescent="0.25">
      <c r="R82" s="15"/>
    </row>
    <row r="83" spans="18:18" ht="12.75" customHeight="1" x14ac:dyDescent="0.25">
      <c r="R83" s="15"/>
    </row>
    <row r="84" spans="18:18" ht="12.75" customHeight="1" x14ac:dyDescent="0.25">
      <c r="R84" s="15"/>
    </row>
    <row r="85" spans="18:18" ht="12.75" customHeight="1" x14ac:dyDescent="0.25">
      <c r="R85" s="15"/>
    </row>
    <row r="86" spans="18:18" ht="12.75" customHeight="1" x14ac:dyDescent="0.25">
      <c r="R86" s="15"/>
    </row>
    <row r="87" spans="18:18" ht="12.75" customHeight="1" x14ac:dyDescent="0.25">
      <c r="R87" s="15"/>
    </row>
    <row r="88" spans="18:18" ht="12.75" customHeight="1" x14ac:dyDescent="0.25">
      <c r="R88" s="15"/>
    </row>
    <row r="89" spans="18:18" ht="12.75" customHeight="1" x14ac:dyDescent="0.25">
      <c r="R89" s="15"/>
    </row>
    <row r="90" spans="18:18" ht="12.75" customHeight="1" x14ac:dyDescent="0.25">
      <c r="R90" s="15"/>
    </row>
    <row r="91" spans="18:18" ht="12.75" customHeight="1" x14ac:dyDescent="0.25">
      <c r="R91" s="15"/>
    </row>
    <row r="92" spans="18:18" ht="12.75" customHeight="1" x14ac:dyDescent="0.25">
      <c r="R92" s="15"/>
    </row>
    <row r="93" spans="18:18" ht="12.75" customHeight="1" x14ac:dyDescent="0.25">
      <c r="R93" s="15"/>
    </row>
    <row r="94" spans="18:18" ht="12.75" customHeight="1" x14ac:dyDescent="0.25">
      <c r="R94" s="15"/>
    </row>
    <row r="95" spans="18:18" ht="12.75" customHeight="1" x14ac:dyDescent="0.25">
      <c r="R95" s="15"/>
    </row>
    <row r="96" spans="18:18" ht="12.75" customHeight="1" x14ac:dyDescent="0.25">
      <c r="R96" s="15"/>
    </row>
    <row r="97" spans="18:18" ht="12.75" customHeight="1" x14ac:dyDescent="0.25">
      <c r="R97" s="15"/>
    </row>
    <row r="98" spans="18:18" ht="12.75" customHeight="1" x14ac:dyDescent="0.25">
      <c r="R98" s="15"/>
    </row>
    <row r="99" spans="18:18" ht="12.75" customHeight="1" x14ac:dyDescent="0.25">
      <c r="R99" s="15"/>
    </row>
    <row r="100" spans="18:18" ht="12.75" customHeight="1" x14ac:dyDescent="0.25">
      <c r="R100" s="15"/>
    </row>
    <row r="101" spans="18:18" ht="12.75" customHeight="1" x14ac:dyDescent="0.25">
      <c r="R101" s="15"/>
    </row>
    <row r="102" spans="18:18" ht="12.75" customHeight="1" x14ac:dyDescent="0.25">
      <c r="R102" s="15"/>
    </row>
    <row r="103" spans="18:18" ht="12.75" customHeight="1" x14ac:dyDescent="0.25">
      <c r="R103" s="15"/>
    </row>
    <row r="104" spans="18:18" ht="12.75" customHeight="1" x14ac:dyDescent="0.25">
      <c r="R104" s="15"/>
    </row>
    <row r="105" spans="18:18" ht="12.75" customHeight="1" x14ac:dyDescent="0.25">
      <c r="R105" s="15"/>
    </row>
    <row r="106" spans="18:18" ht="12.75" customHeight="1" x14ac:dyDescent="0.25">
      <c r="R106" s="15"/>
    </row>
    <row r="107" spans="18:18" ht="12.75" customHeight="1" x14ac:dyDescent="0.25">
      <c r="R107" s="15"/>
    </row>
    <row r="108" spans="18:18" ht="12.75" customHeight="1" x14ac:dyDescent="0.25">
      <c r="R108" s="15"/>
    </row>
    <row r="109" spans="18:18" ht="12.75" customHeight="1" x14ac:dyDescent="0.25">
      <c r="R109" s="15"/>
    </row>
    <row r="110" spans="18:18" ht="12.75" customHeight="1" x14ac:dyDescent="0.25">
      <c r="R110" s="15"/>
    </row>
    <row r="111" spans="18:18" ht="12.75" customHeight="1" x14ac:dyDescent="0.25">
      <c r="R111" s="15"/>
    </row>
    <row r="112" spans="18:18" ht="12.75" customHeight="1" x14ac:dyDescent="0.25">
      <c r="R112" s="15"/>
    </row>
    <row r="113" spans="18:18" ht="12.75" customHeight="1" x14ac:dyDescent="0.25">
      <c r="R113" s="15"/>
    </row>
    <row r="114" spans="18:18" ht="12.75" customHeight="1" x14ac:dyDescent="0.25">
      <c r="R114" s="15"/>
    </row>
    <row r="115" spans="18:18" ht="12.75" customHeight="1" x14ac:dyDescent="0.25">
      <c r="R115" s="15"/>
    </row>
    <row r="116" spans="18:18" ht="12.75" customHeight="1" x14ac:dyDescent="0.25">
      <c r="R116" s="15"/>
    </row>
    <row r="117" spans="18:18" ht="12.75" customHeight="1" x14ac:dyDescent="0.25">
      <c r="R117" s="15"/>
    </row>
    <row r="118" spans="18:18" ht="12.75" customHeight="1" x14ac:dyDescent="0.25">
      <c r="R118" s="15"/>
    </row>
    <row r="119" spans="18:18" ht="12.75" customHeight="1" x14ac:dyDescent="0.25">
      <c r="R119" s="15"/>
    </row>
    <row r="120" spans="18:18" ht="12.75" customHeight="1" x14ac:dyDescent="0.25">
      <c r="R120" s="15"/>
    </row>
    <row r="121" spans="18:18" ht="12.75" customHeight="1" x14ac:dyDescent="0.25">
      <c r="R121" s="15"/>
    </row>
    <row r="122" spans="18:18" ht="12.75" customHeight="1" x14ac:dyDescent="0.25">
      <c r="R122" s="15"/>
    </row>
    <row r="123" spans="18:18" ht="12.75" customHeight="1" x14ac:dyDescent="0.25">
      <c r="R123" s="15"/>
    </row>
    <row r="124" spans="18:18" ht="12.75" customHeight="1" x14ac:dyDescent="0.25">
      <c r="R124" s="15"/>
    </row>
    <row r="125" spans="18:18" ht="12.75" customHeight="1" x14ac:dyDescent="0.25">
      <c r="R125" s="15"/>
    </row>
    <row r="126" spans="18:18" ht="12.75" customHeight="1" x14ac:dyDescent="0.25">
      <c r="R126" s="15"/>
    </row>
    <row r="127" spans="18:18" ht="12.75" customHeight="1" x14ac:dyDescent="0.25">
      <c r="R127" s="15"/>
    </row>
    <row r="128" spans="18:18" ht="12.75" customHeight="1" x14ac:dyDescent="0.25">
      <c r="R128" s="15"/>
    </row>
    <row r="129" spans="18:18" ht="12.75" customHeight="1" x14ac:dyDescent="0.25">
      <c r="R129" s="15"/>
    </row>
    <row r="130" spans="18:18" ht="12.75" customHeight="1" x14ac:dyDescent="0.25">
      <c r="R130" s="15"/>
    </row>
    <row r="131" spans="18:18" ht="12.75" customHeight="1" x14ac:dyDescent="0.25">
      <c r="R131" s="15"/>
    </row>
    <row r="132" spans="18:18" ht="12.75" customHeight="1" x14ac:dyDescent="0.25">
      <c r="R132" s="15"/>
    </row>
    <row r="133" spans="18:18" ht="12.75" customHeight="1" x14ac:dyDescent="0.25">
      <c r="R133" s="15"/>
    </row>
    <row r="134" spans="18:18" ht="12.75" customHeight="1" x14ac:dyDescent="0.25">
      <c r="R134" s="15"/>
    </row>
    <row r="135" spans="18:18" ht="12.75" customHeight="1" x14ac:dyDescent="0.25">
      <c r="R135" s="15"/>
    </row>
    <row r="136" spans="18:18" ht="12.75" customHeight="1" x14ac:dyDescent="0.25">
      <c r="R136" s="15"/>
    </row>
    <row r="137" spans="18:18" ht="12.75" customHeight="1" x14ac:dyDescent="0.25">
      <c r="R137" s="15"/>
    </row>
    <row r="138" spans="18:18" ht="12.75" customHeight="1" x14ac:dyDescent="0.25">
      <c r="R138" s="15"/>
    </row>
    <row r="139" spans="18:18" ht="12.75" customHeight="1" x14ac:dyDescent="0.25">
      <c r="R139" s="15"/>
    </row>
    <row r="140" spans="18:18" ht="12.75" customHeight="1" x14ac:dyDescent="0.25">
      <c r="R140" s="15"/>
    </row>
    <row r="141" spans="18:18" ht="12.75" customHeight="1" x14ac:dyDescent="0.25">
      <c r="R141" s="15"/>
    </row>
    <row r="142" spans="18:18" ht="12.75" customHeight="1" x14ac:dyDescent="0.25">
      <c r="R142" s="15"/>
    </row>
    <row r="143" spans="18:18" ht="12.75" customHeight="1" x14ac:dyDescent="0.25">
      <c r="R143" s="15"/>
    </row>
    <row r="144" spans="18:18" ht="12.75" customHeight="1" x14ac:dyDescent="0.25">
      <c r="R144" s="15"/>
    </row>
    <row r="145" spans="18:18" ht="12.75" customHeight="1" x14ac:dyDescent="0.25">
      <c r="R145" s="15"/>
    </row>
    <row r="146" spans="18:18" ht="12.75" customHeight="1" x14ac:dyDescent="0.25">
      <c r="R146" s="15"/>
    </row>
    <row r="147" spans="18:18" ht="12.75" customHeight="1" x14ac:dyDescent="0.25">
      <c r="R147" s="15"/>
    </row>
    <row r="148" spans="18:18" ht="12.75" customHeight="1" x14ac:dyDescent="0.25">
      <c r="R148" s="15"/>
    </row>
    <row r="149" spans="18:18" ht="12.75" customHeight="1" x14ac:dyDescent="0.25">
      <c r="R149" s="15"/>
    </row>
    <row r="150" spans="18:18" ht="12.75" customHeight="1" x14ac:dyDescent="0.25">
      <c r="R150" s="15"/>
    </row>
    <row r="151" spans="18:18" ht="12.75" customHeight="1" x14ac:dyDescent="0.25">
      <c r="R151" s="15"/>
    </row>
    <row r="152" spans="18:18" ht="12.75" customHeight="1" x14ac:dyDescent="0.25">
      <c r="R152" s="15"/>
    </row>
    <row r="153" spans="18:18" ht="12.75" customHeight="1" x14ac:dyDescent="0.25">
      <c r="R153" s="15"/>
    </row>
    <row r="154" spans="18:18" ht="12.75" customHeight="1" x14ac:dyDescent="0.25">
      <c r="R154" s="15"/>
    </row>
    <row r="155" spans="18:18" ht="12.75" customHeight="1" x14ac:dyDescent="0.25">
      <c r="R155" s="15"/>
    </row>
    <row r="156" spans="18:18" ht="12.75" customHeight="1" x14ac:dyDescent="0.25">
      <c r="R156" s="15"/>
    </row>
    <row r="157" spans="18:18" ht="12.75" customHeight="1" x14ac:dyDescent="0.25">
      <c r="R157" s="15"/>
    </row>
    <row r="158" spans="18:18" ht="12.75" customHeight="1" x14ac:dyDescent="0.25">
      <c r="R158" s="15"/>
    </row>
    <row r="159" spans="18:18" ht="12.75" customHeight="1" x14ac:dyDescent="0.25">
      <c r="R159" s="15"/>
    </row>
    <row r="160" spans="18:18" ht="12.75" customHeight="1" x14ac:dyDescent="0.25">
      <c r="R160" s="15"/>
    </row>
    <row r="161" spans="18:18" ht="12.75" customHeight="1" x14ac:dyDescent="0.25">
      <c r="R161" s="15"/>
    </row>
    <row r="162" spans="18:18" ht="12.75" customHeight="1" x14ac:dyDescent="0.25">
      <c r="R162" s="15"/>
    </row>
    <row r="163" spans="18:18" ht="12.75" customHeight="1" x14ac:dyDescent="0.25">
      <c r="R163" s="15"/>
    </row>
    <row r="164" spans="18:18" ht="12.75" customHeight="1" x14ac:dyDescent="0.25">
      <c r="R164" s="15"/>
    </row>
    <row r="165" spans="18:18" ht="12.75" customHeight="1" x14ac:dyDescent="0.25">
      <c r="R165" s="15"/>
    </row>
    <row r="166" spans="18:18" ht="12.75" customHeight="1" x14ac:dyDescent="0.25">
      <c r="R166" s="15"/>
    </row>
    <row r="167" spans="18:18" ht="12.75" customHeight="1" x14ac:dyDescent="0.25">
      <c r="R167" s="15"/>
    </row>
    <row r="168" spans="18:18" ht="12.75" customHeight="1" x14ac:dyDescent="0.25">
      <c r="R168" s="15"/>
    </row>
    <row r="169" spans="18:18" ht="12.75" customHeight="1" x14ac:dyDescent="0.25">
      <c r="R169" s="15"/>
    </row>
    <row r="170" spans="18:18" ht="12.75" customHeight="1" x14ac:dyDescent="0.25">
      <c r="R170" s="15"/>
    </row>
    <row r="171" spans="18:18" ht="12.75" customHeight="1" x14ac:dyDescent="0.25">
      <c r="R171" s="15"/>
    </row>
    <row r="172" spans="18:18" ht="12.75" customHeight="1" x14ac:dyDescent="0.25">
      <c r="R172" s="15"/>
    </row>
    <row r="173" spans="18:18" ht="12.75" customHeight="1" x14ac:dyDescent="0.25">
      <c r="R173" s="15"/>
    </row>
    <row r="174" spans="18:18" ht="12.75" customHeight="1" x14ac:dyDescent="0.25">
      <c r="R174" s="15"/>
    </row>
    <row r="175" spans="18:18" ht="12.75" customHeight="1" x14ac:dyDescent="0.25">
      <c r="R175" s="15"/>
    </row>
    <row r="176" spans="18:18" ht="12.75" customHeight="1" x14ac:dyDescent="0.25">
      <c r="R176" s="15"/>
    </row>
    <row r="177" spans="18:18" ht="12.75" customHeight="1" x14ac:dyDescent="0.25">
      <c r="R177" s="15"/>
    </row>
    <row r="178" spans="18:18" ht="12.75" customHeight="1" x14ac:dyDescent="0.25">
      <c r="R178" s="15"/>
    </row>
    <row r="179" spans="18:18" ht="12.75" customHeight="1" x14ac:dyDescent="0.25">
      <c r="R179" s="15"/>
    </row>
    <row r="180" spans="18:18" ht="12.75" customHeight="1" x14ac:dyDescent="0.25">
      <c r="R180" s="15"/>
    </row>
    <row r="181" spans="18:18" ht="12.75" customHeight="1" x14ac:dyDescent="0.25">
      <c r="R181" s="15"/>
    </row>
    <row r="182" spans="18:18" ht="12.75" customHeight="1" x14ac:dyDescent="0.25">
      <c r="R182" s="15"/>
    </row>
    <row r="183" spans="18:18" ht="12.75" customHeight="1" x14ac:dyDescent="0.25">
      <c r="R183" s="15"/>
    </row>
    <row r="184" spans="18:18" ht="12.75" customHeight="1" x14ac:dyDescent="0.25">
      <c r="R184" s="15"/>
    </row>
    <row r="185" spans="18:18" ht="12.75" customHeight="1" x14ac:dyDescent="0.25">
      <c r="R185" s="15"/>
    </row>
    <row r="186" spans="18:18" ht="12.75" customHeight="1" x14ac:dyDescent="0.25">
      <c r="R186" s="15"/>
    </row>
    <row r="187" spans="18:18" ht="12.75" customHeight="1" x14ac:dyDescent="0.25">
      <c r="R187" s="15"/>
    </row>
    <row r="188" spans="18:18" ht="12.75" customHeight="1" x14ac:dyDescent="0.25">
      <c r="R188" s="15"/>
    </row>
    <row r="189" spans="18:18" ht="12.75" customHeight="1" x14ac:dyDescent="0.25">
      <c r="R189" s="15"/>
    </row>
    <row r="190" spans="18:18" ht="12.75" customHeight="1" x14ac:dyDescent="0.25">
      <c r="R190" s="15"/>
    </row>
    <row r="191" spans="18:18" ht="12.75" customHeight="1" x14ac:dyDescent="0.25">
      <c r="R191" s="15"/>
    </row>
    <row r="192" spans="18:18" ht="12.75" customHeight="1" x14ac:dyDescent="0.25">
      <c r="R192" s="15"/>
    </row>
    <row r="193" spans="18:18" ht="12.75" customHeight="1" x14ac:dyDescent="0.25">
      <c r="R193" s="15"/>
    </row>
    <row r="194" spans="18:18" ht="12.75" customHeight="1" x14ac:dyDescent="0.25">
      <c r="R194" s="15"/>
    </row>
    <row r="195" spans="18:18" ht="12.75" customHeight="1" x14ac:dyDescent="0.25">
      <c r="R195" s="15"/>
    </row>
    <row r="196" spans="18:18" ht="12.75" customHeight="1" x14ac:dyDescent="0.25">
      <c r="R196" s="15"/>
    </row>
    <row r="197" spans="18:18" ht="12.75" customHeight="1" x14ac:dyDescent="0.25">
      <c r="R197" s="15"/>
    </row>
    <row r="198" spans="18:18" ht="12.75" customHeight="1" x14ac:dyDescent="0.25">
      <c r="R198" s="15"/>
    </row>
    <row r="199" spans="18:18" ht="12.75" customHeight="1" x14ac:dyDescent="0.25">
      <c r="R199" s="15"/>
    </row>
    <row r="200" spans="18:18" ht="12.75" customHeight="1" x14ac:dyDescent="0.25">
      <c r="R200" s="15"/>
    </row>
    <row r="201" spans="18:18" ht="12.75" customHeight="1" x14ac:dyDescent="0.25">
      <c r="R201" s="15"/>
    </row>
    <row r="202" spans="18:18" ht="12.75" customHeight="1" x14ac:dyDescent="0.25">
      <c r="R202" s="15"/>
    </row>
    <row r="203" spans="18:18" ht="12.75" customHeight="1" x14ac:dyDescent="0.25">
      <c r="R203" s="15"/>
    </row>
    <row r="204" spans="18:18" ht="12.75" customHeight="1" x14ac:dyDescent="0.25">
      <c r="R204" s="15"/>
    </row>
    <row r="205" spans="18:18" ht="12.75" customHeight="1" x14ac:dyDescent="0.25">
      <c r="R205" s="15"/>
    </row>
    <row r="206" spans="18:18" ht="12.75" customHeight="1" x14ac:dyDescent="0.25">
      <c r="R206" s="15"/>
    </row>
    <row r="207" spans="18:18" ht="12.75" customHeight="1" x14ac:dyDescent="0.25">
      <c r="R207" s="15"/>
    </row>
    <row r="208" spans="18:18" ht="12.75" customHeight="1" x14ac:dyDescent="0.25">
      <c r="R208" s="15"/>
    </row>
    <row r="209" spans="18:18" ht="12.75" customHeight="1" x14ac:dyDescent="0.25">
      <c r="R209" s="15"/>
    </row>
    <row r="210" spans="18:18" ht="12.75" customHeight="1" x14ac:dyDescent="0.25">
      <c r="R210" s="15"/>
    </row>
    <row r="211" spans="18:18" ht="12.75" customHeight="1" x14ac:dyDescent="0.25">
      <c r="R211" s="15"/>
    </row>
    <row r="212" spans="18:18" ht="12.75" customHeight="1" x14ac:dyDescent="0.25">
      <c r="R212" s="15"/>
    </row>
    <row r="213" spans="18:18" ht="12.75" customHeight="1" x14ac:dyDescent="0.25">
      <c r="R213" s="15"/>
    </row>
    <row r="214" spans="18:18" ht="12.75" customHeight="1" x14ac:dyDescent="0.25">
      <c r="R214" s="15"/>
    </row>
    <row r="215" spans="18:18" ht="12.75" customHeight="1" x14ac:dyDescent="0.25">
      <c r="R215" s="15"/>
    </row>
    <row r="216" spans="18:18" ht="12.75" customHeight="1" x14ac:dyDescent="0.25">
      <c r="R216" s="15"/>
    </row>
    <row r="217" spans="18:18" ht="12.75" customHeight="1" x14ac:dyDescent="0.25">
      <c r="R217" s="15"/>
    </row>
    <row r="218" spans="18:18" ht="12.75" customHeight="1" x14ac:dyDescent="0.25">
      <c r="R218" s="15"/>
    </row>
    <row r="219" spans="18:18" ht="12.75" customHeight="1" x14ac:dyDescent="0.25">
      <c r="R219" s="15"/>
    </row>
    <row r="220" spans="18:18" ht="12.75" customHeight="1" x14ac:dyDescent="0.25">
      <c r="R220" s="15"/>
    </row>
    <row r="221" spans="18:18" ht="12.75" customHeight="1" x14ac:dyDescent="0.25">
      <c r="R221" s="15"/>
    </row>
    <row r="222" spans="18:18" ht="12.75" customHeight="1" x14ac:dyDescent="0.25">
      <c r="R222" s="15"/>
    </row>
    <row r="223" spans="18:18" ht="12.75" customHeight="1" x14ac:dyDescent="0.25">
      <c r="R223" s="15"/>
    </row>
    <row r="224" spans="18:18" ht="12.75" customHeight="1" x14ac:dyDescent="0.25">
      <c r="R224" s="15"/>
    </row>
    <row r="225" spans="18:18" ht="12.75" customHeight="1" x14ac:dyDescent="0.25">
      <c r="R225" s="15"/>
    </row>
    <row r="226" spans="18:18" ht="12.75" customHeight="1" x14ac:dyDescent="0.25">
      <c r="R226" s="15"/>
    </row>
    <row r="227" spans="18:18" ht="12.75" customHeight="1" x14ac:dyDescent="0.25">
      <c r="R227" s="15"/>
    </row>
    <row r="228" spans="18:18" ht="12.75" customHeight="1" x14ac:dyDescent="0.25">
      <c r="R228" s="15"/>
    </row>
    <row r="229" spans="18:18" ht="12.75" customHeight="1" x14ac:dyDescent="0.25">
      <c r="R229" s="15"/>
    </row>
    <row r="230" spans="18:18" ht="12.75" customHeight="1" x14ac:dyDescent="0.25">
      <c r="R230" s="15"/>
    </row>
    <row r="231" spans="18:18" ht="12.75" customHeight="1" x14ac:dyDescent="0.25">
      <c r="R231" s="15"/>
    </row>
    <row r="232" spans="18:18" ht="12.75" customHeight="1" x14ac:dyDescent="0.25">
      <c r="R232" s="15"/>
    </row>
    <row r="233" spans="18:18" ht="12.75" customHeight="1" x14ac:dyDescent="0.25">
      <c r="R233" s="15"/>
    </row>
    <row r="234" spans="18:18" ht="12.75" customHeight="1" x14ac:dyDescent="0.25">
      <c r="R234" s="15"/>
    </row>
    <row r="235" spans="18:18" ht="12.75" customHeight="1" x14ac:dyDescent="0.25">
      <c r="R235" s="15"/>
    </row>
    <row r="236" spans="18:18" ht="12.75" customHeight="1" x14ac:dyDescent="0.25">
      <c r="R236" s="15"/>
    </row>
    <row r="237" spans="18:18" ht="12.75" customHeight="1" x14ac:dyDescent="0.25">
      <c r="R237" s="15"/>
    </row>
    <row r="238" spans="18:18" ht="12.75" customHeight="1" x14ac:dyDescent="0.25">
      <c r="R238" s="15"/>
    </row>
    <row r="239" spans="18:18" ht="12.75" customHeight="1" x14ac:dyDescent="0.25">
      <c r="R239" s="15"/>
    </row>
    <row r="240" spans="18:18" ht="12.75" customHeight="1" x14ac:dyDescent="0.25">
      <c r="R240" s="15"/>
    </row>
    <row r="241" spans="18:18" ht="12.75" customHeight="1" x14ac:dyDescent="0.25">
      <c r="R241" s="15"/>
    </row>
    <row r="242" spans="18:18" ht="12.75" customHeight="1" x14ac:dyDescent="0.25">
      <c r="R242" s="15"/>
    </row>
    <row r="243" spans="18:18" ht="12.75" customHeight="1" x14ac:dyDescent="0.25">
      <c r="R243" s="15"/>
    </row>
    <row r="244" spans="18:18" ht="12.75" customHeight="1" x14ac:dyDescent="0.25">
      <c r="R244" s="15"/>
    </row>
    <row r="245" spans="18:18" ht="15.75" customHeight="1" x14ac:dyDescent="0.25"/>
    <row r="246" spans="18:18" ht="15.75" customHeight="1" x14ac:dyDescent="0.25"/>
    <row r="247" spans="18:18" ht="15.75" customHeight="1" x14ac:dyDescent="0.25"/>
    <row r="248" spans="18:18" ht="15.75" customHeight="1" x14ac:dyDescent="0.25"/>
    <row r="249" spans="18:18" ht="15.75" customHeight="1" x14ac:dyDescent="0.25"/>
    <row r="250" spans="18:18" ht="15.75" customHeight="1" x14ac:dyDescent="0.25"/>
    <row r="251" spans="18:18" ht="15.75" customHeight="1" x14ac:dyDescent="0.25"/>
    <row r="252" spans="18:18" ht="15.75" customHeight="1" x14ac:dyDescent="0.25"/>
    <row r="253" spans="18:18" ht="15.75" customHeight="1" x14ac:dyDescent="0.25"/>
    <row r="254" spans="18:18" ht="15.75" customHeight="1" x14ac:dyDescent="0.25"/>
    <row r="255" spans="18:18" ht="15.75" customHeight="1" x14ac:dyDescent="0.25"/>
    <row r="256" spans="18:18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1:C11"/>
    <mergeCell ref="A20:C20"/>
    <mergeCell ref="A21:C21"/>
    <mergeCell ref="A44:C44"/>
  </mergeCells>
  <conditionalFormatting sqref="A34:A38">
    <cfRule type="expression" dxfId="0" priority="1">
      <formula>_xludf.ISFORMULA(A35:Z1034)</formula>
    </cfRule>
  </conditionalFormatting>
  <pageMargins left="0.75" right="0.75" top="1" bottom="1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000"/>
  <sheetViews>
    <sheetView showGridLines="0" workbookViewId="0"/>
  </sheetViews>
  <sheetFormatPr baseColWidth="10" defaultColWidth="14.44140625" defaultRowHeight="15" customHeight="1" x14ac:dyDescent="0.25"/>
  <cols>
    <col min="1" max="1" width="48.44140625" customWidth="1"/>
    <col min="2" max="2" width="8.6640625" customWidth="1"/>
    <col min="3" max="3" width="13" customWidth="1"/>
    <col min="4" max="5" width="12.44140625" customWidth="1"/>
    <col min="6" max="6" width="8.44140625" customWidth="1"/>
    <col min="7" max="24" width="11.44140625" customWidth="1"/>
  </cols>
  <sheetData>
    <row r="1" spans="1:8" ht="19.95" customHeight="1" x14ac:dyDescent="0.4">
      <c r="A1" s="17" t="str">
        <f>'Est. Res. Proy.'!A2</f>
        <v>Sistema de monitoreo, diagnostico y actuacion para viveros de yerba mate</v>
      </c>
      <c r="B1" s="146"/>
      <c r="C1" s="18"/>
      <c r="D1" s="18"/>
    </row>
    <row r="2" spans="1:8" ht="18" customHeight="1" x14ac:dyDescent="0.3">
      <c r="A2" s="54" t="s">
        <v>260</v>
      </c>
      <c r="B2" s="18"/>
      <c r="C2" s="18"/>
      <c r="D2" s="18"/>
    </row>
    <row r="3" spans="1:8" ht="12.75" customHeight="1" x14ac:dyDescent="0.3">
      <c r="A3" s="54"/>
      <c r="B3" s="18"/>
      <c r="C3" s="22"/>
      <c r="D3" s="22"/>
    </row>
    <row r="4" spans="1:8" ht="12.75" customHeight="1" x14ac:dyDescent="0.25">
      <c r="A4" s="147" t="s">
        <v>4</v>
      </c>
      <c r="B4" s="71" t="s">
        <v>261</v>
      </c>
      <c r="C4" s="93" t="s">
        <v>262</v>
      </c>
      <c r="D4" s="155" t="s">
        <v>263</v>
      </c>
      <c r="E4" s="155" t="s">
        <v>264</v>
      </c>
      <c r="G4" s="156" t="s">
        <v>156</v>
      </c>
      <c r="H4" s="157" t="s">
        <v>265</v>
      </c>
    </row>
    <row r="5" spans="1:8" ht="12.75" customHeight="1" x14ac:dyDescent="0.25">
      <c r="A5" s="225" t="s">
        <v>8</v>
      </c>
      <c r="B5" s="226" t="s">
        <v>266</v>
      </c>
      <c r="C5" s="207" t="s">
        <v>267</v>
      </c>
      <c r="D5" s="227" t="s">
        <v>268</v>
      </c>
      <c r="E5" s="227" t="s">
        <v>269</v>
      </c>
      <c r="G5" s="158" t="s">
        <v>270</v>
      </c>
      <c r="H5" s="161" t="s">
        <v>150</v>
      </c>
    </row>
    <row r="6" spans="1:8" ht="12.75" customHeight="1" x14ac:dyDescent="0.25">
      <c r="A6" s="154" t="s">
        <v>271</v>
      </c>
      <c r="B6" s="159">
        <v>120</v>
      </c>
      <c r="C6" s="160">
        <f>(Inversiones!D6)/B6*7</f>
        <v>28000</v>
      </c>
      <c r="D6" s="228">
        <f>C6</f>
        <v>28000</v>
      </c>
      <c r="E6" s="228">
        <f>Inversiones!D6-Amortizaciones!D6</f>
        <v>452000</v>
      </c>
      <c r="G6" s="158" t="s">
        <v>272</v>
      </c>
      <c r="H6" s="161" t="s">
        <v>150</v>
      </c>
    </row>
    <row r="7" spans="1:8" ht="12.75" customHeight="1" x14ac:dyDescent="0.25">
      <c r="A7" s="154" t="s">
        <v>231</v>
      </c>
      <c r="B7" s="159">
        <v>120</v>
      </c>
      <c r="C7" s="160">
        <f>(Inversiones!D7)/B7*7</f>
        <v>21000</v>
      </c>
      <c r="D7" s="228">
        <f>C7</f>
        <v>21000</v>
      </c>
      <c r="E7" s="228">
        <f>Inversiones!D7-Amortizaciones!D7</f>
        <v>339000</v>
      </c>
      <c r="G7" s="158" t="s">
        <v>273</v>
      </c>
      <c r="H7" s="161" t="s">
        <v>150</v>
      </c>
    </row>
    <row r="8" spans="1:8" ht="12.75" customHeight="1" x14ac:dyDescent="0.25">
      <c r="A8" s="154" t="s">
        <v>274</v>
      </c>
      <c r="B8" s="159">
        <v>120</v>
      </c>
      <c r="C8" s="160">
        <f>(Inversiones!D8)/B8*7</f>
        <v>3500</v>
      </c>
      <c r="D8" s="228">
        <f>C8</f>
        <v>3500</v>
      </c>
      <c r="E8" s="228">
        <f>Inversiones!D8-Amortizaciones!D8</f>
        <v>56500</v>
      </c>
    </row>
    <row r="9" spans="1:8" ht="12.75" customHeight="1" x14ac:dyDescent="0.25">
      <c r="A9" s="154" t="s">
        <v>275</v>
      </c>
      <c r="B9" s="159">
        <v>120</v>
      </c>
      <c r="C9" s="160">
        <f>(Inversiones!D9)/B9*7</f>
        <v>0</v>
      </c>
      <c r="D9" s="228">
        <f>C9</f>
        <v>0</v>
      </c>
      <c r="E9" s="228">
        <f>Inversiones!D9-Amortizaciones!D9</f>
        <v>0</v>
      </c>
    </row>
    <row r="10" spans="1:8" ht="12.75" customHeight="1" x14ac:dyDescent="0.25">
      <c r="A10" s="101" t="s">
        <v>234</v>
      </c>
      <c r="B10" s="162">
        <v>120</v>
      </c>
      <c r="C10" s="160">
        <f>(Inversiones!D10)/B10*7</f>
        <v>9333.3333333333321</v>
      </c>
      <c r="D10" s="228">
        <f>C10</f>
        <v>9333.3333333333321</v>
      </c>
      <c r="E10" s="228">
        <f>Inversiones!D10-Amortizaciones!D10</f>
        <v>150666.66666666666</v>
      </c>
    </row>
    <row r="11" spans="1:8" ht="12.75" customHeight="1" x14ac:dyDescent="0.25">
      <c r="A11" s="163" t="s">
        <v>235</v>
      </c>
      <c r="B11" s="164"/>
      <c r="C11" s="165">
        <f>SUM(C6:C10)</f>
        <v>61833.333333333328</v>
      </c>
      <c r="D11" s="166">
        <f>SUM(D6:D10)</f>
        <v>61833.333333333328</v>
      </c>
      <c r="E11" s="166">
        <f>SUM(E6:E10)</f>
        <v>998166.66666666663</v>
      </c>
    </row>
    <row r="12" spans="1:8" ht="12.75" customHeight="1" x14ac:dyDescent="0.25">
      <c r="A12" s="80" t="s">
        <v>276</v>
      </c>
      <c r="B12" s="167">
        <f>12*3</f>
        <v>36</v>
      </c>
      <c r="C12" s="160">
        <f>(Inversiones!D12)/B12*7</f>
        <v>1166666.6666666665</v>
      </c>
      <c r="D12" s="228">
        <f t="shared" ref="D12:D18" si="0">C12</f>
        <v>1166666.6666666665</v>
      </c>
      <c r="E12" s="228">
        <f>Inversiones!D12-Amortizaciones!D12</f>
        <v>4833333.333333334</v>
      </c>
    </row>
    <row r="13" spans="1:8" ht="12.75" customHeight="1" x14ac:dyDescent="0.25">
      <c r="A13" s="154" t="s">
        <v>277</v>
      </c>
      <c r="B13" s="159">
        <v>120</v>
      </c>
      <c r="C13" s="160">
        <f>(Inversiones!D13)/B13*7</f>
        <v>40833.333333333328</v>
      </c>
      <c r="D13" s="228">
        <f t="shared" si="0"/>
        <v>40833.333333333328</v>
      </c>
      <c r="E13" s="228">
        <f>Inversiones!D13-Amortizaciones!D13</f>
        <v>659166.66666666663</v>
      </c>
    </row>
    <row r="14" spans="1:8" ht="12.75" customHeight="1" x14ac:dyDescent="0.25">
      <c r="A14" s="154" t="s">
        <v>278</v>
      </c>
      <c r="B14" s="159">
        <v>120</v>
      </c>
      <c r="C14" s="160">
        <f>(Inversiones!D14)/B14*7</f>
        <v>0</v>
      </c>
      <c r="D14" s="228">
        <f t="shared" si="0"/>
        <v>0</v>
      </c>
      <c r="E14" s="228">
        <f>Inversiones!D14-Amortizaciones!D14</f>
        <v>0</v>
      </c>
    </row>
    <row r="15" spans="1:8" ht="12.75" customHeight="1" x14ac:dyDescent="0.25">
      <c r="A15" s="154" t="s">
        <v>279</v>
      </c>
      <c r="B15" s="159">
        <v>120</v>
      </c>
      <c r="C15" s="160">
        <f>(Inversiones!D15)/B15*7</f>
        <v>0</v>
      </c>
      <c r="D15" s="228">
        <f t="shared" si="0"/>
        <v>0</v>
      </c>
      <c r="E15" s="228">
        <f>Inversiones!D15-Amortizaciones!D15</f>
        <v>0</v>
      </c>
    </row>
    <row r="16" spans="1:8" ht="12.75" customHeight="1" x14ac:dyDescent="0.25">
      <c r="A16" s="154" t="s">
        <v>280</v>
      </c>
      <c r="B16" s="159">
        <v>120</v>
      </c>
      <c r="C16" s="160">
        <f>(Inversiones!D16)/B16*7</f>
        <v>3500</v>
      </c>
      <c r="D16" s="228">
        <f t="shared" si="0"/>
        <v>3500</v>
      </c>
      <c r="E16" s="228">
        <f>Inversiones!D16-Amortizaciones!D16</f>
        <v>56500</v>
      </c>
    </row>
    <row r="17" spans="1:24" ht="12.75" customHeight="1" x14ac:dyDescent="0.25">
      <c r="A17" s="154" t="s">
        <v>241</v>
      </c>
      <c r="B17" s="159">
        <v>120</v>
      </c>
      <c r="C17" s="160">
        <f>(Inversiones!D17)/B17*7</f>
        <v>0</v>
      </c>
      <c r="D17" s="228">
        <f t="shared" si="0"/>
        <v>0</v>
      </c>
      <c r="E17" s="228">
        <f>Inversiones!D17-Amortizaciones!D17</f>
        <v>0</v>
      </c>
    </row>
    <row r="18" spans="1:24" ht="12.75" customHeight="1" x14ac:dyDescent="0.25">
      <c r="A18" s="154" t="s">
        <v>281</v>
      </c>
      <c r="B18" s="159">
        <v>120</v>
      </c>
      <c r="C18" s="160">
        <f>(Inversiones!D18)/B18*7</f>
        <v>0</v>
      </c>
      <c r="D18" s="228">
        <f t="shared" si="0"/>
        <v>0</v>
      </c>
      <c r="E18" s="228">
        <f>Inversiones!D18-Amortizaciones!D18</f>
        <v>0</v>
      </c>
    </row>
    <row r="19" spans="1:24" ht="12.75" customHeight="1" x14ac:dyDescent="0.25">
      <c r="A19" s="163" t="s">
        <v>243</v>
      </c>
      <c r="B19" s="164"/>
      <c r="C19" s="165">
        <f>SUM(C12:C18)</f>
        <v>1210999.9999999998</v>
      </c>
      <c r="D19" s="166">
        <f>SUM(D12:D18)</f>
        <v>1210999.9999999998</v>
      </c>
      <c r="E19" s="166">
        <f>SUM(E12:E18)</f>
        <v>5549000.0000000009</v>
      </c>
    </row>
    <row r="20" spans="1:24" ht="12.75" customHeight="1" x14ac:dyDescent="0.25">
      <c r="A20" s="163" t="s">
        <v>282</v>
      </c>
      <c r="B20" s="164"/>
      <c r="C20" s="165">
        <f>C11+C19</f>
        <v>1272833.333333333</v>
      </c>
      <c r="D20" s="168">
        <f>D11+D19</f>
        <v>1272833.333333333</v>
      </c>
      <c r="E20" s="166" t="s">
        <v>133</v>
      </c>
    </row>
    <row r="21" spans="1:24" ht="12.75" customHeight="1" x14ac:dyDescent="0.25">
      <c r="F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spans="1:24" ht="12.75" customHeight="1" x14ac:dyDescent="0.25">
      <c r="G22" s="15"/>
      <c r="H22" s="15"/>
    </row>
    <row r="23" spans="1:24" ht="12.75" customHeight="1" x14ac:dyDescent="0.25"/>
    <row r="24" spans="1:24" ht="12.75" customHeight="1" x14ac:dyDescent="0.25"/>
    <row r="25" spans="1:24" ht="12.75" customHeight="1" x14ac:dyDescent="0.25"/>
    <row r="26" spans="1:24" ht="12.75" customHeight="1" x14ac:dyDescent="0.25"/>
    <row r="27" spans="1:24" ht="12.75" customHeight="1" x14ac:dyDescent="0.25"/>
    <row r="28" spans="1:24" ht="12.75" customHeight="1" x14ac:dyDescent="0.25"/>
    <row r="29" spans="1:24" ht="12.75" customHeight="1" x14ac:dyDescent="0.25"/>
    <row r="30" spans="1:24" ht="12.75" customHeight="1" x14ac:dyDescent="0.25"/>
    <row r="31" spans="1:24" ht="12.75" customHeight="1" x14ac:dyDescent="0.25"/>
    <row r="32" spans="1:24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scale="66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baseColWidth="10" defaultColWidth="14.44140625" defaultRowHeight="15" customHeight="1" x14ac:dyDescent="0.25"/>
  <cols>
    <col min="1" max="1" width="37.77734375" customWidth="1"/>
    <col min="2" max="2" width="7.44140625" customWidth="1"/>
    <col min="3" max="3" width="9.77734375" customWidth="1"/>
    <col min="4" max="4" width="7.44140625" customWidth="1"/>
    <col min="5" max="5" width="9.77734375" customWidth="1"/>
    <col min="6" max="6" width="7.44140625" customWidth="1"/>
    <col min="7" max="7" width="9.77734375" customWidth="1"/>
    <col min="8" max="8" width="7.44140625" customWidth="1"/>
    <col min="9" max="9" width="9.77734375" customWidth="1"/>
    <col min="10" max="10" width="8" customWidth="1"/>
    <col min="11" max="11" width="9.77734375" customWidth="1"/>
    <col min="12" max="12" width="8.44140625" customWidth="1"/>
    <col min="13" max="13" width="9.77734375" customWidth="1"/>
    <col min="14" max="14" width="18.44140625" customWidth="1"/>
    <col min="15" max="26" width="11.44140625" customWidth="1"/>
  </cols>
  <sheetData>
    <row r="1" spans="1:26" ht="12.75" customHeight="1" x14ac:dyDescent="0.25">
      <c r="A1" s="229" t="s">
        <v>283</v>
      </c>
      <c r="B1" s="18"/>
      <c r="C1" s="22"/>
      <c r="D1" s="22"/>
      <c r="E1" s="22"/>
      <c r="F1" s="22"/>
      <c r="G1" s="18"/>
    </row>
    <row r="2" spans="1:26" ht="12.75" customHeight="1" x14ac:dyDescent="0.25">
      <c r="A2" s="56"/>
      <c r="B2" s="56"/>
      <c r="C2" s="22"/>
      <c r="D2" s="22"/>
      <c r="E2" s="22"/>
      <c r="F2" s="22"/>
      <c r="G2" s="18"/>
    </row>
    <row r="3" spans="1:26" ht="12.75" customHeight="1" x14ac:dyDescent="0.25">
      <c r="A3" s="169" t="s">
        <v>284</v>
      </c>
      <c r="B3" s="170" t="s">
        <v>285</v>
      </c>
      <c r="C3" s="171" t="s">
        <v>286</v>
      </c>
      <c r="D3" s="170" t="s">
        <v>287</v>
      </c>
      <c r="E3" s="170" t="s">
        <v>288</v>
      </c>
      <c r="F3" s="170" t="s">
        <v>289</v>
      </c>
      <c r="G3" s="170" t="s">
        <v>290</v>
      </c>
      <c r="H3" s="170" t="s">
        <v>291</v>
      </c>
      <c r="I3" s="170" t="s">
        <v>292</v>
      </c>
      <c r="J3" s="170" t="s">
        <v>293</v>
      </c>
      <c r="K3" s="170" t="s">
        <v>294</v>
      </c>
      <c r="L3" s="170" t="s">
        <v>295</v>
      </c>
      <c r="M3" s="170" t="s">
        <v>296</v>
      </c>
      <c r="N3" s="170" t="s">
        <v>297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2.75" customHeight="1" x14ac:dyDescent="0.25">
      <c r="A4" s="154" t="s">
        <v>298</v>
      </c>
      <c r="B4" s="150">
        <f t="shared" ref="B4:M4" si="0">B5/60000</f>
        <v>0</v>
      </c>
      <c r="C4" s="150">
        <f t="shared" si="0"/>
        <v>1</v>
      </c>
      <c r="D4" s="150">
        <f t="shared" si="0"/>
        <v>0</v>
      </c>
      <c r="E4" s="150">
        <f t="shared" si="0"/>
        <v>1</v>
      </c>
      <c r="F4" s="150">
        <f t="shared" si="0"/>
        <v>0</v>
      </c>
      <c r="G4" s="150">
        <f t="shared" si="0"/>
        <v>1</v>
      </c>
      <c r="H4" s="150">
        <f t="shared" si="0"/>
        <v>0</v>
      </c>
      <c r="I4" s="150">
        <f t="shared" si="0"/>
        <v>1</v>
      </c>
      <c r="J4" s="150">
        <f t="shared" si="0"/>
        <v>0</v>
      </c>
      <c r="K4" s="150">
        <f t="shared" si="0"/>
        <v>1</v>
      </c>
      <c r="L4" s="150">
        <f t="shared" si="0"/>
        <v>0</v>
      </c>
      <c r="M4" s="150">
        <f t="shared" si="0"/>
        <v>1</v>
      </c>
      <c r="N4" s="172">
        <f>SUM(B4:M4)</f>
        <v>6</v>
      </c>
    </row>
    <row r="5" spans="1:26" ht="12.75" customHeight="1" x14ac:dyDescent="0.25">
      <c r="A5" s="154" t="s">
        <v>299</v>
      </c>
      <c r="B5" s="173">
        <v>0</v>
      </c>
      <c r="C5" s="173">
        <v>60000</v>
      </c>
      <c r="D5" s="173">
        <v>0</v>
      </c>
      <c r="E5" s="173">
        <v>60000</v>
      </c>
      <c r="F5" s="173">
        <v>0</v>
      </c>
      <c r="G5" s="173">
        <v>60000</v>
      </c>
      <c r="H5" s="173">
        <v>0</v>
      </c>
      <c r="I5" s="173">
        <v>60000</v>
      </c>
      <c r="J5" s="173">
        <v>0</v>
      </c>
      <c r="K5" s="173">
        <v>60000</v>
      </c>
      <c r="L5" s="173">
        <v>0</v>
      </c>
      <c r="M5" s="173">
        <v>60000</v>
      </c>
      <c r="N5" s="174">
        <f>SUM(B5:M5)</f>
        <v>360000</v>
      </c>
    </row>
    <row r="6" spans="1:26" ht="12.75" customHeight="1" x14ac:dyDescent="0.25">
      <c r="A6" s="175" t="s">
        <v>300</v>
      </c>
      <c r="B6" s="176">
        <f t="shared" ref="B6:N6" si="1">SUM(B5)</f>
        <v>0</v>
      </c>
      <c r="C6" s="176">
        <f t="shared" si="1"/>
        <v>60000</v>
      </c>
      <c r="D6" s="176">
        <f t="shared" si="1"/>
        <v>0</v>
      </c>
      <c r="E6" s="176">
        <f t="shared" si="1"/>
        <v>60000</v>
      </c>
      <c r="F6" s="176">
        <f t="shared" si="1"/>
        <v>0</v>
      </c>
      <c r="G6" s="176">
        <f t="shared" si="1"/>
        <v>60000</v>
      </c>
      <c r="H6" s="176">
        <f t="shared" si="1"/>
        <v>0</v>
      </c>
      <c r="I6" s="176">
        <f t="shared" si="1"/>
        <v>60000</v>
      </c>
      <c r="J6" s="176">
        <f t="shared" si="1"/>
        <v>0</v>
      </c>
      <c r="K6" s="176">
        <f t="shared" si="1"/>
        <v>60000</v>
      </c>
      <c r="L6" s="176">
        <f t="shared" si="1"/>
        <v>0</v>
      </c>
      <c r="M6" s="176">
        <f t="shared" si="1"/>
        <v>60000</v>
      </c>
      <c r="N6" s="176">
        <f t="shared" si="1"/>
        <v>360000</v>
      </c>
    </row>
    <row r="7" spans="1:26" ht="12.75" customHeight="1" x14ac:dyDescent="0.25"/>
    <row r="8" spans="1:26" ht="12.75" customHeight="1" x14ac:dyDescent="0.25">
      <c r="A8" s="229" t="s">
        <v>301</v>
      </c>
      <c r="B8" s="18"/>
      <c r="C8" s="22"/>
      <c r="D8" s="22"/>
      <c r="E8" s="22"/>
      <c r="F8" s="22"/>
      <c r="G8" s="18"/>
    </row>
    <row r="9" spans="1:26" ht="12.75" customHeight="1" x14ac:dyDescent="0.25">
      <c r="A9" s="56"/>
      <c r="B9" s="56"/>
      <c r="C9" s="22"/>
      <c r="D9" s="22"/>
      <c r="E9" s="22"/>
      <c r="F9" s="22"/>
      <c r="G9" s="18"/>
    </row>
    <row r="10" spans="1:26" ht="12.75" customHeight="1" x14ac:dyDescent="0.25">
      <c r="A10" s="175" t="s">
        <v>302</v>
      </c>
      <c r="B10" s="170" t="s">
        <v>285</v>
      </c>
      <c r="C10" s="171" t="s">
        <v>286</v>
      </c>
      <c r="D10" s="170" t="s">
        <v>287</v>
      </c>
      <c r="E10" s="170" t="s">
        <v>288</v>
      </c>
      <c r="F10" s="170" t="s">
        <v>289</v>
      </c>
      <c r="G10" s="170" t="s">
        <v>290</v>
      </c>
      <c r="H10" s="170" t="s">
        <v>291</v>
      </c>
      <c r="I10" s="170" t="s">
        <v>292</v>
      </c>
      <c r="J10" s="170" t="s">
        <v>293</v>
      </c>
      <c r="K10" s="170" t="s">
        <v>294</v>
      </c>
      <c r="L10" s="170" t="s">
        <v>295</v>
      </c>
      <c r="M10" s="170" t="s">
        <v>296</v>
      </c>
      <c r="N10" s="170" t="s">
        <v>297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.75" customHeight="1" x14ac:dyDescent="0.25">
      <c r="A11" s="113" t="s">
        <v>303</v>
      </c>
      <c r="B11" s="173">
        <v>0</v>
      </c>
      <c r="C11" s="173">
        <v>30000</v>
      </c>
      <c r="D11" s="173">
        <v>0</v>
      </c>
      <c r="E11" s="173">
        <v>30000</v>
      </c>
      <c r="F11" s="173">
        <v>0</v>
      </c>
      <c r="G11" s="173">
        <v>30000</v>
      </c>
      <c r="H11" s="173">
        <v>0</v>
      </c>
      <c r="I11" s="173">
        <v>30000</v>
      </c>
      <c r="J11" s="173">
        <v>0</v>
      </c>
      <c r="K11" s="173">
        <v>30000</v>
      </c>
      <c r="L11" s="173">
        <v>0</v>
      </c>
      <c r="M11" s="173">
        <v>30000</v>
      </c>
      <c r="N11" s="174">
        <f>SUM(B11:M11)</f>
        <v>180000</v>
      </c>
    </row>
    <row r="12" spans="1:26" ht="12.75" customHeight="1" x14ac:dyDescent="0.25">
      <c r="A12" s="175" t="s">
        <v>304</v>
      </c>
      <c r="B12" s="176">
        <f t="shared" ref="B12:N12" si="2">SUM(B11)</f>
        <v>0</v>
      </c>
      <c r="C12" s="176">
        <f t="shared" si="2"/>
        <v>30000</v>
      </c>
      <c r="D12" s="176">
        <f t="shared" si="2"/>
        <v>0</v>
      </c>
      <c r="E12" s="176">
        <f t="shared" si="2"/>
        <v>30000</v>
      </c>
      <c r="F12" s="176">
        <f t="shared" si="2"/>
        <v>0</v>
      </c>
      <c r="G12" s="176">
        <f t="shared" si="2"/>
        <v>30000</v>
      </c>
      <c r="H12" s="176">
        <f t="shared" si="2"/>
        <v>0</v>
      </c>
      <c r="I12" s="176">
        <f t="shared" si="2"/>
        <v>30000</v>
      </c>
      <c r="J12" s="176">
        <f t="shared" si="2"/>
        <v>0</v>
      </c>
      <c r="K12" s="176">
        <f t="shared" si="2"/>
        <v>30000</v>
      </c>
      <c r="L12" s="176">
        <f t="shared" si="2"/>
        <v>0</v>
      </c>
      <c r="M12" s="176">
        <f t="shared" si="2"/>
        <v>30000</v>
      </c>
      <c r="N12" s="176">
        <f t="shared" si="2"/>
        <v>180000</v>
      </c>
    </row>
    <row r="13" spans="1:26" ht="12.75" customHeight="1" x14ac:dyDescent="0.25"/>
    <row r="14" spans="1:26" ht="12.75" customHeight="1" x14ac:dyDescent="0.25">
      <c r="A14" s="169" t="s">
        <v>305</v>
      </c>
      <c r="B14" s="176">
        <f t="shared" ref="B14:N14" si="3">B6-B12</f>
        <v>0</v>
      </c>
      <c r="C14" s="176">
        <f t="shared" si="3"/>
        <v>30000</v>
      </c>
      <c r="D14" s="176">
        <f t="shared" si="3"/>
        <v>0</v>
      </c>
      <c r="E14" s="176">
        <f t="shared" si="3"/>
        <v>30000</v>
      </c>
      <c r="F14" s="176">
        <f t="shared" si="3"/>
        <v>0</v>
      </c>
      <c r="G14" s="176">
        <f t="shared" si="3"/>
        <v>30000</v>
      </c>
      <c r="H14" s="176">
        <f t="shared" si="3"/>
        <v>0</v>
      </c>
      <c r="I14" s="176">
        <f t="shared" si="3"/>
        <v>30000</v>
      </c>
      <c r="J14" s="176">
        <f t="shared" si="3"/>
        <v>0</v>
      </c>
      <c r="K14" s="176">
        <f t="shared" si="3"/>
        <v>30000</v>
      </c>
      <c r="L14" s="176">
        <f t="shared" si="3"/>
        <v>0</v>
      </c>
      <c r="M14" s="176">
        <f t="shared" si="3"/>
        <v>30000</v>
      </c>
      <c r="N14" s="176">
        <f t="shared" si="3"/>
        <v>180000</v>
      </c>
    </row>
    <row r="15" spans="1:26" ht="12.75" customHeight="1" x14ac:dyDescent="0.25"/>
    <row r="16" spans="1:26" ht="12.75" customHeight="1" x14ac:dyDescent="0.25">
      <c r="A16" s="175" t="s">
        <v>306</v>
      </c>
      <c r="B16" s="170" t="s">
        <v>285</v>
      </c>
      <c r="C16" s="171" t="s">
        <v>286</v>
      </c>
      <c r="D16" s="170" t="s">
        <v>287</v>
      </c>
      <c r="E16" s="170" t="s">
        <v>288</v>
      </c>
      <c r="F16" s="170" t="s">
        <v>289</v>
      </c>
      <c r="G16" s="170" t="s">
        <v>290</v>
      </c>
      <c r="H16" s="170" t="s">
        <v>291</v>
      </c>
      <c r="I16" s="170" t="s">
        <v>292</v>
      </c>
      <c r="J16" s="170" t="s">
        <v>293</v>
      </c>
      <c r="K16" s="170" t="s">
        <v>294</v>
      </c>
      <c r="L16" s="170" t="s">
        <v>295</v>
      </c>
      <c r="M16" s="170" t="s">
        <v>296</v>
      </c>
    </row>
    <row r="17" spans="1:26" ht="12.75" customHeight="1" x14ac:dyDescent="0.25">
      <c r="A17" s="101" t="s">
        <v>307</v>
      </c>
      <c r="B17" s="177">
        <v>1</v>
      </c>
      <c r="C17" s="177">
        <v>1</v>
      </c>
      <c r="D17" s="177">
        <v>1</v>
      </c>
      <c r="E17" s="177">
        <v>1</v>
      </c>
      <c r="F17" s="177">
        <v>1</v>
      </c>
      <c r="G17" s="177">
        <v>1</v>
      </c>
      <c r="H17" s="177">
        <v>1</v>
      </c>
      <c r="I17" s="177">
        <v>1</v>
      </c>
      <c r="J17" s="177">
        <v>1</v>
      </c>
      <c r="K17" s="177">
        <v>1</v>
      </c>
      <c r="L17" s="177">
        <v>1</v>
      </c>
      <c r="M17" s="177">
        <v>1</v>
      </c>
    </row>
    <row r="18" spans="1:26" ht="12.75" customHeight="1" x14ac:dyDescent="0.25">
      <c r="A18" s="101" t="s">
        <v>308</v>
      </c>
      <c r="B18" s="177">
        <v>0</v>
      </c>
      <c r="C18" s="177">
        <v>0</v>
      </c>
      <c r="D18" s="177">
        <v>0</v>
      </c>
      <c r="E18" s="177">
        <v>0</v>
      </c>
      <c r="F18" s="177">
        <v>0</v>
      </c>
      <c r="G18" s="177">
        <v>0</v>
      </c>
      <c r="H18" s="177">
        <v>0</v>
      </c>
      <c r="I18" s="177">
        <v>0</v>
      </c>
      <c r="J18" s="177">
        <v>0</v>
      </c>
      <c r="K18" s="177">
        <v>0</v>
      </c>
      <c r="L18" s="177">
        <v>0</v>
      </c>
      <c r="M18" s="177">
        <v>0</v>
      </c>
    </row>
    <row r="19" spans="1:26" ht="12.75" customHeight="1" x14ac:dyDescent="0.25">
      <c r="A19" s="101" t="s">
        <v>309</v>
      </c>
      <c r="B19" s="177">
        <v>0</v>
      </c>
      <c r="C19" s="177">
        <v>0</v>
      </c>
      <c r="D19" s="177">
        <v>0</v>
      </c>
      <c r="E19" s="177">
        <v>0</v>
      </c>
      <c r="F19" s="177">
        <v>0</v>
      </c>
      <c r="G19" s="177">
        <v>0</v>
      </c>
      <c r="H19" s="177">
        <v>0</v>
      </c>
      <c r="I19" s="177">
        <v>0</v>
      </c>
      <c r="J19" s="177">
        <v>0</v>
      </c>
      <c r="K19" s="177">
        <v>0</v>
      </c>
      <c r="L19" s="177">
        <v>0</v>
      </c>
      <c r="M19" s="177">
        <v>0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2.75" customHeight="1" x14ac:dyDescent="0.25">
      <c r="A20" s="175" t="s">
        <v>310</v>
      </c>
      <c r="B20" s="178">
        <f t="shared" ref="B20:M20" si="4">SUM(B17:B19)</f>
        <v>1</v>
      </c>
      <c r="C20" s="178">
        <f t="shared" si="4"/>
        <v>1</v>
      </c>
      <c r="D20" s="178">
        <f t="shared" si="4"/>
        <v>1</v>
      </c>
      <c r="E20" s="178">
        <f t="shared" si="4"/>
        <v>1</v>
      </c>
      <c r="F20" s="178">
        <f t="shared" si="4"/>
        <v>1</v>
      </c>
      <c r="G20" s="178">
        <f t="shared" si="4"/>
        <v>1</v>
      </c>
      <c r="H20" s="178">
        <f t="shared" si="4"/>
        <v>1</v>
      </c>
      <c r="I20" s="178">
        <f t="shared" si="4"/>
        <v>1</v>
      </c>
      <c r="J20" s="178">
        <f t="shared" si="4"/>
        <v>1</v>
      </c>
      <c r="K20" s="178">
        <f t="shared" si="4"/>
        <v>1</v>
      </c>
      <c r="L20" s="178">
        <f t="shared" si="4"/>
        <v>1</v>
      </c>
      <c r="M20" s="178">
        <f t="shared" si="4"/>
        <v>1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75" customHeight="1" x14ac:dyDescent="0.25"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.75" customHeight="1" x14ac:dyDescent="0.25">
      <c r="A22" s="175" t="s">
        <v>311</v>
      </c>
      <c r="B22" s="170" t="s">
        <v>285</v>
      </c>
      <c r="C22" s="171" t="s">
        <v>286</v>
      </c>
      <c r="D22" s="170" t="s">
        <v>287</v>
      </c>
      <c r="E22" s="170" t="s">
        <v>288</v>
      </c>
      <c r="F22" s="170" t="s">
        <v>289</v>
      </c>
      <c r="G22" s="170" t="s">
        <v>290</v>
      </c>
      <c r="H22" s="170" t="s">
        <v>291</v>
      </c>
      <c r="I22" s="170" t="s">
        <v>292</v>
      </c>
      <c r="J22" s="170" t="s">
        <v>293</v>
      </c>
      <c r="K22" s="170" t="s">
        <v>294</v>
      </c>
      <c r="L22" s="170" t="s">
        <v>295</v>
      </c>
      <c r="M22" s="170" t="s">
        <v>296</v>
      </c>
      <c r="N22" s="170" t="s">
        <v>297</v>
      </c>
    </row>
    <row r="23" spans="1:26" ht="12.75" customHeight="1" x14ac:dyDescent="0.25">
      <c r="A23" s="101" t="s">
        <v>307</v>
      </c>
      <c r="B23" s="177">
        <v>0.05</v>
      </c>
      <c r="C23" s="177">
        <v>0.05</v>
      </c>
      <c r="D23" s="177">
        <v>0.05</v>
      </c>
      <c r="E23" s="177">
        <v>0.05</v>
      </c>
      <c r="F23" s="177">
        <v>0.05</v>
      </c>
      <c r="G23" s="177">
        <v>0.05</v>
      </c>
      <c r="H23" s="177">
        <v>0.05</v>
      </c>
      <c r="I23" s="177">
        <v>0.05</v>
      </c>
      <c r="J23" s="177">
        <v>0.05</v>
      </c>
      <c r="K23" s="177">
        <v>0.05</v>
      </c>
      <c r="L23" s="177">
        <v>0.05</v>
      </c>
      <c r="M23" s="177">
        <v>0.05</v>
      </c>
      <c r="N23" s="177"/>
    </row>
    <row r="24" spans="1:26" ht="12.75" customHeight="1" x14ac:dyDescent="0.25">
      <c r="A24" s="101" t="s">
        <v>308</v>
      </c>
      <c r="B24" s="177">
        <v>0.05</v>
      </c>
      <c r="C24" s="177">
        <v>0.05</v>
      </c>
      <c r="D24" s="177">
        <v>0.05</v>
      </c>
      <c r="E24" s="177">
        <v>0.05</v>
      </c>
      <c r="F24" s="177">
        <v>0.05</v>
      </c>
      <c r="G24" s="177">
        <v>0.05</v>
      </c>
      <c r="H24" s="177">
        <v>0.05</v>
      </c>
      <c r="I24" s="177">
        <v>0.05</v>
      </c>
      <c r="J24" s="177">
        <v>0.05</v>
      </c>
      <c r="K24" s="177">
        <v>0.05</v>
      </c>
      <c r="L24" s="177">
        <v>0.05</v>
      </c>
      <c r="M24" s="177">
        <v>0.05</v>
      </c>
      <c r="N24" s="177"/>
    </row>
    <row r="25" spans="1:26" ht="12.75" customHeight="1" x14ac:dyDescent="0.25">
      <c r="A25" s="101" t="s">
        <v>309</v>
      </c>
      <c r="B25" s="177">
        <v>0.05</v>
      </c>
      <c r="C25" s="177">
        <v>0.05</v>
      </c>
      <c r="D25" s="177">
        <v>0.05</v>
      </c>
      <c r="E25" s="177">
        <v>0.05</v>
      </c>
      <c r="F25" s="177">
        <v>0.05</v>
      </c>
      <c r="G25" s="177">
        <v>0.05</v>
      </c>
      <c r="H25" s="177">
        <v>0.05</v>
      </c>
      <c r="I25" s="177">
        <v>0.05</v>
      </c>
      <c r="J25" s="177">
        <v>0.05</v>
      </c>
      <c r="K25" s="177">
        <v>0.05</v>
      </c>
      <c r="L25" s="177">
        <v>0.05</v>
      </c>
      <c r="M25" s="177">
        <v>0.05</v>
      </c>
      <c r="N25" s="177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75" customHeight="1" x14ac:dyDescent="0.25">
      <c r="A26" s="175" t="s">
        <v>310</v>
      </c>
      <c r="B26" s="176">
        <f t="shared" ref="B26:M26" si="5">B6*(B17*B23+B18*B24+B19*B25)</f>
        <v>0</v>
      </c>
      <c r="C26" s="176">
        <f t="shared" si="5"/>
        <v>3000</v>
      </c>
      <c r="D26" s="176">
        <f t="shared" si="5"/>
        <v>0</v>
      </c>
      <c r="E26" s="176">
        <f t="shared" si="5"/>
        <v>3000</v>
      </c>
      <c r="F26" s="176">
        <f t="shared" si="5"/>
        <v>0</v>
      </c>
      <c r="G26" s="176">
        <f t="shared" si="5"/>
        <v>3000</v>
      </c>
      <c r="H26" s="176">
        <f t="shared" si="5"/>
        <v>0</v>
      </c>
      <c r="I26" s="176">
        <f t="shared" si="5"/>
        <v>3000</v>
      </c>
      <c r="J26" s="176">
        <f t="shared" si="5"/>
        <v>0</v>
      </c>
      <c r="K26" s="176">
        <f t="shared" si="5"/>
        <v>3000</v>
      </c>
      <c r="L26" s="176">
        <f t="shared" si="5"/>
        <v>0</v>
      </c>
      <c r="M26" s="176">
        <f t="shared" si="5"/>
        <v>3000</v>
      </c>
      <c r="N26" s="176">
        <f>SUM(B26:M26)</f>
        <v>18000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75" customHeight="1" x14ac:dyDescent="0.25"/>
    <row r="28" spans="1:26" ht="12.75" customHeight="1" x14ac:dyDescent="0.25"/>
    <row r="29" spans="1:26" ht="12.75" customHeight="1" x14ac:dyDescent="0.25"/>
    <row r="30" spans="1:26" ht="12.75" customHeight="1" x14ac:dyDescent="0.25"/>
    <row r="31" spans="1:26" ht="12.75" customHeight="1" x14ac:dyDescent="0.25"/>
    <row r="32" spans="1:2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rintOptions horizontalCentered="1" verticalCentered="1"/>
  <pageMargins left="0.2" right="0.21" top="0.78740157480314965" bottom="0.78740157480314965" header="0" footer="0"/>
  <pageSetup paperSize="9" scale="90" orientation="landscape"/>
  <headerFooter>
    <oddFooter>&amp;RPágina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baseColWidth="10" defaultColWidth="14.44140625" defaultRowHeight="15" customHeight="1" x14ac:dyDescent="0.25"/>
  <cols>
    <col min="1" max="1" width="36.109375" customWidth="1"/>
    <col min="2" max="7" width="15.33203125" customWidth="1"/>
    <col min="8" max="26" width="11.44140625" customWidth="1"/>
  </cols>
  <sheetData>
    <row r="1" spans="1:26" ht="12.75" customHeight="1" x14ac:dyDescent="0.25">
      <c r="A1" s="179" t="s">
        <v>312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 x14ac:dyDescent="0.25">
      <c r="A2" s="18"/>
      <c r="B2" s="18"/>
      <c r="C2" s="18"/>
      <c r="D2" s="18"/>
      <c r="E2" s="18"/>
      <c r="F2" s="230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2.75" customHeight="1" x14ac:dyDescent="0.25">
      <c r="A3" s="231" t="s">
        <v>313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x14ac:dyDescent="0.25">
      <c r="A4" s="56"/>
      <c r="B4" s="180"/>
      <c r="C4" s="180"/>
      <c r="D4" s="180"/>
      <c r="E4" s="180"/>
      <c r="F4" s="180"/>
      <c r="G4" s="180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 x14ac:dyDescent="0.25">
      <c r="A5" s="68"/>
      <c r="B5" s="181" t="s">
        <v>314</v>
      </c>
      <c r="C5" s="182" t="s">
        <v>315</v>
      </c>
      <c r="D5" s="182" t="s">
        <v>316</v>
      </c>
      <c r="E5" s="182" t="s">
        <v>317</v>
      </c>
      <c r="F5" s="182" t="s">
        <v>318</v>
      </c>
      <c r="G5" s="182" t="s">
        <v>319</v>
      </c>
      <c r="H5" s="182" t="s">
        <v>320</v>
      </c>
      <c r="I5" s="182" t="s">
        <v>321</v>
      </c>
      <c r="J5" s="182" t="s">
        <v>322</v>
      </c>
      <c r="K5" s="182" t="s">
        <v>323</v>
      </c>
      <c r="L5" s="182" t="s">
        <v>324</v>
      </c>
      <c r="M5" s="182" t="s">
        <v>325</v>
      </c>
      <c r="N5" s="182" t="s">
        <v>326</v>
      </c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ht="12.75" customHeight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2.75" customHeight="1" x14ac:dyDescent="0.25">
      <c r="A7" s="190" t="s">
        <v>300</v>
      </c>
      <c r="B7" s="233">
        <v>0</v>
      </c>
      <c r="C7" s="233" t="e">
        <f>#REF!</f>
        <v>#REF!</v>
      </c>
      <c r="D7" s="233" t="e">
        <f>#REF!</f>
        <v>#REF!</v>
      </c>
      <c r="E7" s="233" t="e">
        <f>#REF!</f>
        <v>#REF!</v>
      </c>
      <c r="F7" s="233" t="e">
        <f>#REF!</f>
        <v>#REF!</v>
      </c>
      <c r="G7" s="233" t="e">
        <f>#REF!</f>
        <v>#REF!</v>
      </c>
      <c r="H7" s="233" t="e">
        <f>#REF!</f>
        <v>#REF!</v>
      </c>
      <c r="I7" s="233" t="e">
        <f>#REF!</f>
        <v>#REF!</v>
      </c>
      <c r="J7" s="233" t="e">
        <f>#REF!</f>
        <v>#REF!</v>
      </c>
      <c r="K7" s="233" t="e">
        <f>#REF!</f>
        <v>#REF!</v>
      </c>
      <c r="L7" s="233" t="e">
        <f>#REF!</f>
        <v>#REF!</v>
      </c>
      <c r="M7" s="233" t="e">
        <f>#REF!</f>
        <v>#REF!</v>
      </c>
      <c r="N7" s="233" t="e">
        <f>#REF!</f>
        <v>#REF!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2.75" customHeight="1" x14ac:dyDescent="0.25">
      <c r="A8" s="18"/>
      <c r="B8" s="183"/>
      <c r="C8" s="183"/>
      <c r="D8" s="183"/>
      <c r="E8" s="183"/>
      <c r="F8" s="183"/>
      <c r="G8" s="183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2.75" customHeight="1" x14ac:dyDescent="0.25">
      <c r="A9" s="234" t="s">
        <v>327</v>
      </c>
      <c r="B9" s="233" t="e">
        <f>#REF!</f>
        <v>#REF!</v>
      </c>
      <c r="C9" s="233" t="e">
        <f>#REF!</f>
        <v>#REF!</v>
      </c>
      <c r="D9" s="233" t="e">
        <f>#REF!</f>
        <v>#REF!</v>
      </c>
      <c r="E9" s="233" t="e">
        <f>#REF!</f>
        <v>#REF!</v>
      </c>
      <c r="F9" s="233" t="e">
        <f>#REF!</f>
        <v>#REF!</v>
      </c>
      <c r="G9" s="233" t="e">
        <f>#REF!</f>
        <v>#REF!</v>
      </c>
      <c r="H9" s="233" t="e">
        <f>#REF!</f>
        <v>#REF!</v>
      </c>
      <c r="I9" s="233" t="e">
        <f>#REF!</f>
        <v>#REF!</v>
      </c>
      <c r="J9" s="233" t="e">
        <f>#REF!</f>
        <v>#REF!</v>
      </c>
      <c r="K9" s="233" t="e">
        <f>#REF!</f>
        <v>#REF!</v>
      </c>
      <c r="L9" s="233" t="e">
        <f>#REF!</f>
        <v>#REF!</v>
      </c>
      <c r="M9" s="233" t="e">
        <f>#REF!</f>
        <v>#REF!</v>
      </c>
      <c r="N9" s="233" t="e">
        <f>#REF!</f>
        <v>#REF!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2.75" customHeight="1" x14ac:dyDescent="0.25">
      <c r="A10" s="18"/>
      <c r="B10" s="184"/>
      <c r="C10" s="184"/>
      <c r="D10" s="184"/>
      <c r="E10" s="184"/>
      <c r="F10" s="184"/>
      <c r="G10" s="184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2.75" customHeight="1" x14ac:dyDescent="0.25">
      <c r="A11" s="235" t="s">
        <v>328</v>
      </c>
      <c r="B11" s="233" t="e">
        <f t="shared" ref="B11:N11" si="0">B7-B9</f>
        <v>#REF!</v>
      </c>
      <c r="C11" s="233" t="e">
        <f t="shared" si="0"/>
        <v>#REF!</v>
      </c>
      <c r="D11" s="233" t="e">
        <f t="shared" si="0"/>
        <v>#REF!</v>
      </c>
      <c r="E11" s="233" t="e">
        <f t="shared" si="0"/>
        <v>#REF!</v>
      </c>
      <c r="F11" s="233" t="e">
        <f t="shared" si="0"/>
        <v>#REF!</v>
      </c>
      <c r="G11" s="233" t="e">
        <f t="shared" si="0"/>
        <v>#REF!</v>
      </c>
      <c r="H11" s="233" t="e">
        <f t="shared" si="0"/>
        <v>#REF!</v>
      </c>
      <c r="I11" s="233" t="e">
        <f t="shared" si="0"/>
        <v>#REF!</v>
      </c>
      <c r="J11" s="233" t="e">
        <f t="shared" si="0"/>
        <v>#REF!</v>
      </c>
      <c r="K11" s="233" t="e">
        <f t="shared" si="0"/>
        <v>#REF!</v>
      </c>
      <c r="L11" s="233" t="e">
        <f t="shared" si="0"/>
        <v>#REF!</v>
      </c>
      <c r="M11" s="233" t="e">
        <f t="shared" si="0"/>
        <v>#REF!</v>
      </c>
      <c r="N11" s="233" t="e">
        <f t="shared" si="0"/>
        <v>#REF!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5" customHeight="1" x14ac:dyDescent="0.25">
      <c r="A12" s="18"/>
      <c r="B12" s="184"/>
      <c r="C12" s="184"/>
      <c r="D12" s="184"/>
      <c r="E12" s="184"/>
      <c r="F12" s="184"/>
      <c r="G12" s="184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2.75" customHeight="1" x14ac:dyDescent="0.25">
      <c r="A13" s="234" t="s">
        <v>329</v>
      </c>
      <c r="B13" s="233" t="e">
        <f>#REF!</f>
        <v>#REF!</v>
      </c>
      <c r="C13" s="233" t="e">
        <f>#REF!</f>
        <v>#REF!</v>
      </c>
      <c r="D13" s="233" t="e">
        <f>#REF!</f>
        <v>#REF!</v>
      </c>
      <c r="E13" s="233" t="e">
        <f>#REF!</f>
        <v>#REF!</v>
      </c>
      <c r="F13" s="233" t="e">
        <f>#REF!</f>
        <v>#REF!</v>
      </c>
      <c r="G13" s="233" t="e">
        <f>#REF!</f>
        <v>#REF!</v>
      </c>
      <c r="H13" s="233" t="e">
        <f>#REF!</f>
        <v>#REF!</v>
      </c>
      <c r="I13" s="233" t="e">
        <f>#REF!</f>
        <v>#REF!</v>
      </c>
      <c r="J13" s="233" t="e">
        <f>#REF!</f>
        <v>#REF!</v>
      </c>
      <c r="K13" s="233" t="e">
        <f>#REF!</f>
        <v>#REF!</v>
      </c>
      <c r="L13" s="233" t="e">
        <f>#REF!</f>
        <v>#REF!</v>
      </c>
      <c r="M13" s="233" t="e">
        <f>#REF!</f>
        <v>#REF!</v>
      </c>
      <c r="N13" s="233" t="e">
        <f>#REF!</f>
        <v>#REF!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2.7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2.75" customHeight="1" x14ac:dyDescent="0.25">
      <c r="A15" s="234" t="s">
        <v>330</v>
      </c>
      <c r="B15" s="233" t="e">
        <f>#REF!</f>
        <v>#REF!</v>
      </c>
      <c r="C15" s="233" t="e">
        <f>#REF!</f>
        <v>#REF!</v>
      </c>
      <c r="D15" s="233" t="e">
        <f>#REF!</f>
        <v>#REF!</v>
      </c>
      <c r="E15" s="233" t="e">
        <f>#REF!</f>
        <v>#REF!</v>
      </c>
      <c r="F15" s="233" t="e">
        <f>#REF!</f>
        <v>#REF!</v>
      </c>
      <c r="G15" s="233" t="e">
        <f>#REF!</f>
        <v>#REF!</v>
      </c>
      <c r="H15" s="233" t="e">
        <f>#REF!</f>
        <v>#REF!</v>
      </c>
      <c r="I15" s="233" t="e">
        <f>#REF!</f>
        <v>#REF!</v>
      </c>
      <c r="J15" s="233" t="e">
        <f>#REF!</f>
        <v>#REF!</v>
      </c>
      <c r="K15" s="233" t="e">
        <f>#REF!</f>
        <v>#REF!</v>
      </c>
      <c r="L15" s="233" t="e">
        <f>#REF!</f>
        <v>#REF!</v>
      </c>
      <c r="M15" s="233" t="e">
        <f>#REF!</f>
        <v>#REF!</v>
      </c>
      <c r="N15" s="233" t="e">
        <f>#REF!</f>
        <v>#REF!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2.7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2.75" customHeight="1" x14ac:dyDescent="0.25">
      <c r="A17" s="234" t="s">
        <v>331</v>
      </c>
      <c r="B17" s="233" t="e">
        <f t="shared" ref="B17:N17" si="1">B11-B13-B15</f>
        <v>#REF!</v>
      </c>
      <c r="C17" s="233" t="e">
        <f t="shared" si="1"/>
        <v>#REF!</v>
      </c>
      <c r="D17" s="233" t="e">
        <f t="shared" si="1"/>
        <v>#REF!</v>
      </c>
      <c r="E17" s="233" t="e">
        <f t="shared" si="1"/>
        <v>#REF!</v>
      </c>
      <c r="F17" s="233" t="e">
        <f t="shared" si="1"/>
        <v>#REF!</v>
      </c>
      <c r="G17" s="233" t="e">
        <f t="shared" si="1"/>
        <v>#REF!</v>
      </c>
      <c r="H17" s="233" t="e">
        <f t="shared" si="1"/>
        <v>#REF!</v>
      </c>
      <c r="I17" s="233" t="e">
        <f t="shared" si="1"/>
        <v>#REF!</v>
      </c>
      <c r="J17" s="233" t="e">
        <f t="shared" si="1"/>
        <v>#REF!</v>
      </c>
      <c r="K17" s="233" t="e">
        <f t="shared" si="1"/>
        <v>#REF!</v>
      </c>
      <c r="L17" s="233" t="e">
        <f t="shared" si="1"/>
        <v>#REF!</v>
      </c>
      <c r="M17" s="233" t="e">
        <f t="shared" si="1"/>
        <v>#REF!</v>
      </c>
      <c r="N17" s="233" t="e">
        <f t="shared" si="1"/>
        <v>#REF!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2.7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25">
      <c r="A19" s="234" t="s">
        <v>332</v>
      </c>
      <c r="B19" s="233" t="e">
        <f>#REF!</f>
        <v>#REF!</v>
      </c>
      <c r="C19" s="233" t="e">
        <f>#REF!</f>
        <v>#REF!</v>
      </c>
      <c r="D19" s="233" t="e">
        <f>#REF!</f>
        <v>#REF!</v>
      </c>
      <c r="E19" s="233" t="e">
        <f>#REF!</f>
        <v>#REF!</v>
      </c>
      <c r="F19" s="233" t="e">
        <f>#REF!</f>
        <v>#REF!</v>
      </c>
      <c r="G19" s="233" t="e">
        <f>#REF!</f>
        <v>#REF!</v>
      </c>
      <c r="H19" s="233" t="e">
        <f>#REF!</f>
        <v>#REF!</v>
      </c>
      <c r="I19" s="233" t="e">
        <f>#REF!</f>
        <v>#REF!</v>
      </c>
      <c r="J19" s="233" t="e">
        <f>#REF!</f>
        <v>#REF!</v>
      </c>
      <c r="K19" s="233" t="e">
        <f>#REF!</f>
        <v>#REF!</v>
      </c>
      <c r="L19" s="233" t="e">
        <f>#REF!</f>
        <v>#REF!</v>
      </c>
      <c r="M19" s="233" t="e">
        <f>#REF!</f>
        <v>#REF!</v>
      </c>
      <c r="N19" s="233" t="e">
        <f>#REF!</f>
        <v>#REF!</v>
      </c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2.7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2.75" customHeight="1" x14ac:dyDescent="0.25">
      <c r="A21" s="18" t="s">
        <v>333</v>
      </c>
      <c r="B21" s="18"/>
      <c r="C21" s="185" t="e">
        <f t="shared" ref="C21:N21" si="2">C7-C9-C13</f>
        <v>#REF!</v>
      </c>
      <c r="D21" s="185" t="e">
        <f t="shared" si="2"/>
        <v>#REF!</v>
      </c>
      <c r="E21" s="185" t="e">
        <f t="shared" si="2"/>
        <v>#REF!</v>
      </c>
      <c r="F21" s="185" t="e">
        <f t="shared" si="2"/>
        <v>#REF!</v>
      </c>
      <c r="G21" s="185" t="e">
        <f t="shared" si="2"/>
        <v>#REF!</v>
      </c>
      <c r="H21" s="185" t="e">
        <f t="shared" si="2"/>
        <v>#REF!</v>
      </c>
      <c r="I21" s="185" t="e">
        <f t="shared" si="2"/>
        <v>#REF!</v>
      </c>
      <c r="J21" s="185" t="e">
        <f t="shared" si="2"/>
        <v>#REF!</v>
      </c>
      <c r="K21" s="185" t="e">
        <f t="shared" si="2"/>
        <v>#REF!</v>
      </c>
      <c r="L21" s="185" t="e">
        <f t="shared" si="2"/>
        <v>#REF!</v>
      </c>
      <c r="M21" s="185" t="e">
        <f t="shared" si="2"/>
        <v>#REF!</v>
      </c>
      <c r="N21" s="185" t="e">
        <f t="shared" si="2"/>
        <v>#REF!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2.7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2.75" customHeight="1" x14ac:dyDescent="0.25">
      <c r="A23" s="18"/>
      <c r="B23" s="186" t="s">
        <v>334</v>
      </c>
      <c r="C23" s="187" t="e">
        <f t="array" ref="C23">NPV(((1+0.1)^(1/12)-1),B19:N19)</f>
        <v>#REF!</v>
      </c>
      <c r="D23" s="75">
        <f>(1+0.1)^(1/12)-1</f>
        <v>7.9741404289037643E-3</v>
      </c>
      <c r="E23" s="18" t="s">
        <v>335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2.7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2.75" customHeight="1" x14ac:dyDescent="0.25">
      <c r="A25" s="18"/>
      <c r="B25" s="186" t="s">
        <v>336</v>
      </c>
      <c r="C25" s="188" t="e">
        <f>IRR(B19:N19,0.01)</f>
        <v>#VALUE!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2.7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2.75" customHeight="1" x14ac:dyDescent="0.25">
      <c r="A27" s="236" t="s">
        <v>337</v>
      </c>
      <c r="B27" s="233" t="e">
        <f>B19</f>
        <v>#REF!</v>
      </c>
      <c r="C27" s="233" t="e">
        <f>C19+B19*(1+D23)^2</f>
        <v>#REF!</v>
      </c>
      <c r="D27" s="233" t="e">
        <f>D19+C19*(1+D23)^2+B19*(1+D23)^3</f>
        <v>#REF!</v>
      </c>
      <c r="E27" s="233" t="e">
        <f>E19+D19*(1+D23)^2+C19*(1+D23)^3+B19*(1+D23)^4</f>
        <v>#REF!</v>
      </c>
      <c r="F27" s="233" t="e">
        <f>F19+E19*(1+D23)^2+D19*(1+D23)^3+C19*(1+D23)^4+B19*(1+D23)^5</f>
        <v>#REF!</v>
      </c>
      <c r="G27" s="233" t="e">
        <f>G19+F19*(1+$D23)^2+E19*(1+$D23)^3+D19*(1+$D23)^4+C19*(1+$D23)^5+B19*(1+$D23)^6</f>
        <v>#REF!</v>
      </c>
      <c r="H27" s="233" t="e">
        <f>H19+G19*(1+$D23)^2+F19*(1+$D23)^3+E19*(1+$D23)^4+D19*(1+$D23)^5+C19*(1+$D23)^6+B19*(1+$D23)^7</f>
        <v>#REF!</v>
      </c>
      <c r="I27" s="233" t="e">
        <f>I19+H19*(1+$D23)^2+G19*(1+$D23)^3+F19*(1+$D23)^4+E19*(1+$D23)^5+D19*(1+$D23)^6+C19*(1+$D23)^7+B19*(1+$D23)^8</f>
        <v>#REF!</v>
      </c>
      <c r="J27" s="233" t="e">
        <f>J19+I19*(1+$D23)^2+H19*(1+$D23)^3+G19*(1+$D23)^4+F19*(1+$D23)^5+E19*(1+$D23)^6+D19*(1+$D23)^7+C19*(1+$D23)^8+B19*(1+$D23)^9</f>
        <v>#REF!</v>
      </c>
      <c r="K27" s="233" t="e">
        <f>K19+J19*(1+$D23)^2+I19*(1+$D23)^3+H19*(1+$D23)^4+G19*(1+$D23)^5+F19*(1+$D23)^6+E19*(1+$D23)^7+D19*(1+$D23)^8+C19*(1+$D23)^9+B19*(1+$D23)^10</f>
        <v>#REF!</v>
      </c>
      <c r="L27" s="233" t="e">
        <f>L19+K19*(1+$D23)^2+J19*(1+$D23)^3+I19*(1+$D23)^4+H19*(1+$D23)^5+G19*(1+$D23)^6+F19*(1+$D23)^7+E19*(1+$D23)^8+D19*(1+$D23)^9+C19*(1+$D23)^10+B19*(1+$D23)^11</f>
        <v>#REF!</v>
      </c>
      <c r="M27" s="233" t="e">
        <f>M19+L19*(1+$D23)^2+K19*(1+$D23)^3+J19*(1+$D23)^4+I19*(1+$D23)^5+H19*(1+$D23)^6+G19*(1+$D23)^7+F19*(1+$D23)^8+E19*(1+$D23)^9+D19*(1+$D23)^10+C19*(1+$D23)^11+B19*(1+$D23)^12</f>
        <v>#REF!</v>
      </c>
      <c r="N27" s="233" t="e">
        <f>N19+M19*(1+$D23)^2+L19*(1+$D23)^3+K19*(1+$D23)^4+J19*(1+$D23)^5+I19*(1+$D23)^6+H19*(1+$D23)^7+G19*(1+$D23)^8+F19*(1+$D23)^9+E19*(1+$D23)^10+D19*(1+$D23)^11+C19*(1+$D23)^12+B19*(1+$D23)^13</f>
        <v>#REF!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2.7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2.7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2.7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2.7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2.7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2.7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2.7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2.7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2.7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7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7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7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7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7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7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7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7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7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7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7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7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7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7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7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7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7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7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7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7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7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7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7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7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7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7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7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7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7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7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7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7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7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7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7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7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7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7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7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7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7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7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7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7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7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7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7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7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7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7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7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7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7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7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7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7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7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7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7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7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7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7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7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7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7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7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7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7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7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7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7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7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7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7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7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7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7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7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7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7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7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7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7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7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7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7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7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7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7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7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7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7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7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7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7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7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7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7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7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7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7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7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7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7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7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7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7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7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7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7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7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7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7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7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7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7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7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7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7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7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7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7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7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7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7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7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7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7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7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7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7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7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7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7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7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7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7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7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7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7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7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7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7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7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7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7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7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7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7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7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7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7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7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7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7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7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7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7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7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7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7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7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7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7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7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7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7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7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7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7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7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7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7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7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7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7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7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7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7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7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7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7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7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7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7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7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7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2.7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2.7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2.7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2.75" customHeight="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rintOptions horizontalCentered="1" verticalCentered="1"/>
  <pageMargins left="0.78740157480314965" right="0.78740157480314965" top="0.78740157480314965" bottom="0.78740157480314965" header="0" footer="0"/>
  <pageSetup paperSize="9" orientation="landscape"/>
  <headerFooter>
    <oddFooter>&amp;RPágina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Sub-Total Rubros Argentina</vt:lpstr>
      <vt:lpstr>Sub-Total Subrubros Argentina</vt:lpstr>
      <vt:lpstr>Total de rubros por Provincia</vt:lpstr>
      <vt:lpstr>Total de sub-rubros por Provinc</vt:lpstr>
      <vt:lpstr>Est. Res. Proy.</vt:lpstr>
      <vt:lpstr>Ingresos</vt:lpstr>
      <vt:lpstr>Egresos</vt:lpstr>
      <vt:lpstr>RRHH</vt:lpstr>
      <vt:lpstr>Inversiones</vt:lpstr>
      <vt:lpstr>Amortizaciones</vt:lpstr>
      <vt:lpstr>Intra Extranets</vt:lpstr>
      <vt:lpstr>Cuadro de 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Galo</cp:lastModifiedBy>
  <dcterms:created xsi:type="dcterms:W3CDTF">2020-07-18T16:01:14Z</dcterms:created>
  <dcterms:modified xsi:type="dcterms:W3CDTF">2026-05-27T23:15:31Z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0x010100ED969AE7A600734CADCA94BBED160AA5</vt:lpwstr>
  </property>
</Properties>
</file>